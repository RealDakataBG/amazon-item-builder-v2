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ellenblatt1" sheetId="1" r:id="rId5"/>
  </sheets>
  <definedNames/>
  <calcPr/>
</workbook>
</file>

<file path=xl/sharedStrings.xml><?xml version="1.0" encoding="utf-8"?>
<sst xmlns="http://schemas.openxmlformats.org/spreadsheetml/2006/main" count="363" uniqueCount="74">
  <si>
    <t>Product images &amp; video</t>
  </si>
  <si>
    <t>Image 1 (cover image)</t>
  </si>
  <si>
    <t>German</t>
  </si>
  <si>
    <t>English</t>
  </si>
  <si>
    <t>Text</t>
  </si>
  <si>
    <t>Fugenloses Bodensystem · 5 m² Komplettset</t>
  </si>
  <si>
    <t>Image description</t>
  </si>
  <si>
    <t>Alle drei Produktkomponenten zentral auf weißem Hintergrund angeordnet: Die größte Einheit ELAN OP-Coat 500 (15 kg, A+B Gebinde) steht prominent in der Mitte, links daneben der kleinere ELAN OP-Primer 001 N (1,95 kg) und rechts die Versiegelung ELAN OP-Coat 590 (2 kg). Alle Behälter sind aufrecht positioniert, leicht versetzt gestaffelt für räumliche Tiefe. Ein kleiner natürlicher Schatten unter den Produkten. Ein Sticker-Label oben rechts im Bild zeigt '5 m² Komplettset'. Vier kleine Farbkreise (Anthrazit, Steingrau, Lichtgrau, Hellelfenbein) ohne Text sind klein unterhalb der Produkte angeordnet.</t>
  </si>
  <si>
    <t>Needed?</t>
  </si>
  <si>
    <t>Description German</t>
  </si>
  <si>
    <t>Description English</t>
  </si>
  <si>
    <t>Person / Actor</t>
  </si>
  <si>
    <t>Location</t>
  </si>
  <si>
    <t>No</t>
  </si>
  <si>
    <t>Real Photo</t>
  </si>
  <si>
    <t>3D Rendering</t>
  </si>
  <si>
    <t>Image 2</t>
  </si>
  <si>
    <t>1. Fugenloses System – komplett geschlossene Bodenfläche ohne Schmutzfallen | 2. Komplettset: Grundierung + PU-Beschichtung + Versiegelung | 3. Speziell für Nassbereiche – wasser- &amp; reinigungsmittelbeständig</t>
  </si>
  <si>
    <t>Zentriertes Produktset (alle drei Komponenten nebeneinander) auf neutralem Hintergrund, links gesplittet mit einer fugenlosen anthrazitfarbenen Bodenfläche als Kontext. Drei horizontale Icon-Balken rechts neben dem Produkt zeigen die drei Nutzen-Texte grafisch eingebettet. Stock-Element: Draufsicht einer fugenfreien, versiegelten Bodenfläche als Hintergrundhälfte.</t>
  </si>
  <si>
    <t>Image 3</t>
  </si>
  <si>
    <t>Fünf Gründe, warum dieses Bodensystem überzeugt: 1. Fugenlos – keine Schmutzfallen mehr. 2. Zähelastisch – angenehmer Gehkomfort und leise Schritte. 3. Wasserfest – ideal für Bad, WC und Küche. 4. DIY-freundlich – Schritt für Schritt ohne Fachbetrieb. 5. Pflegeleicht – einfach abwischen, fertig.</t>
  </si>
  <si>
    <t>Zentrales Hero-Element ist das ELAN DIY-Wohn-Nassbereich Set (alle drei Komponenten als Produktgruppe arrangiert) auf hellem, neutralem Hintergrund in Weiß oder Hellgrau. Um das Produkt sind fünf Vorteils-Cluster sternförmig angeordnet, jeweils verbunden durch dünne, elegante Linien in Anthrazit. Jeder Cluster besteht aus einem minimalistischen Icon (z. B. Fugen-Durchstreichsymbol, Schuh-Komfort-Symbol, Wassertropfen, Werkzeug-Hand, Wischmopp) und einem kurzen Vorteilstext in großer, klarer Schrift. Designfarben: Anthrazit (#373F47) als Akzent und ein warmes Steingrau als sekundäre Farbe, neutrale weiße Basis. Layout ist ruhig, luftig und mobil optimiert mit großzügigen Abständen.</t>
  </si>
  <si>
    <t>Image 4</t>
  </si>
  <si>
    <t>Einfache DIY-Verarbeitung in 3 Schritten – professionelles Ergebnis ohne Fachkenntnisse. Zähelastische PU-Beschichtung für angenehmen Gehkomfort.</t>
  </si>
  <si>
    <t>Heller, geteilter Hintergrund (links dezentes Grau, rechts Weiß). In der linken Bildhälfte ist das Produktset leicht versetzt zentriert abgebildet. Rechts daneben eine vertikale Step-by-Step-Grafik mit drei nummerierten Schritten, jeweils mit einem einfachen Icon: 1. Grundierung auftragen (Icon: Pinsel/Rolle auf Fläche) – 'ELAN OP-Primer 001 N auftragen'. 2. PU-Beschichtung aufbringen (Icon: Rakel/Spachtel) – 'ELAN OP-Coat 500 gleichmäßig verteilen'. 3. Versiegelung auftragen (Icon: glänzende Fläche) – 'ELAN OP-Coat 590 als Schutzschicht abschließen'. Unterhalb der Steps ein kurzer Hinweistext: 'Zähelastisch – reduziert Trittgeräusche spürbar'. Farbpalette dezent im unteren Bildbereich als vier kleine Farbfelder: Anthrazit, Steingrau, Lichtgrau, Hellelfenbein.</t>
  </si>
  <si>
    <t>Image 5</t>
  </si>
  <si>
    <t>4 moderne Farbtöne – für jeden Einrichtungsstil. Matter oder glänzender Abschluss wählbar.</t>
  </si>
  <si>
    <t>Badezimmer mit frisch aufgetragenem, fugenlosem Boden in Steingrau RAL 7030 – glatte, versiegelte Oberfläche klar erkennbar. Im Vordergrund stehen die vier Produktkomponenten des Sets nebeneinander auf dem fertigen Boden. Daneben sind vier kleine Farbmuster-Rechtecke zu sehen, die die vier erhältlichen Töne (Anthrazit, Steingrau, Lichtgrau, Hellelfenbein) repräsentieren. Der Raum ist hell und modern gestaltet, mit weißen Wänden und minimalistischen Accessoires. Die geschlossene, fugenfreie Bodenfläche ist deutlich sichtbar und hebt sich klar von klassischen Fliesenböden ab.</t>
  </si>
  <si>
    <t>Image 6</t>
  </si>
  <si>
    <t>4 moderne Farbtöne – von Anthrazit bis Hellelfenbein. Wahlweise matter oder glänzender Abschluss für deinen individuellen Stil.</t>
  </si>
  <si>
    <t>Ein modernes Badezimmer mit frisch beschichtetem, fugenlosem Boden in zwei nebeneinander dargestellten Farbvarianten – z. B. Anthrazit RAL 7016 und Lichtgrau RAL 7035. Die Bodenfläche nimmt den Großteil des Bildes ein und zeigt deutlich die geschlossene, versiegelte Oberfläche. Im Hintergrund sind schlichte Badezimmer-Accessoires (Waschbecken, Handtücher) zu sehen. Kleine Farbfelder oder Etiketten mit den vier Farbtönen (Anthrazit, Steingrau, Lichtgrau, Hellelfenbein) sind dezent am unteren Bildrand eingeblendet. Das Produkt-Set (die drei Komponenten-Dosen) steht unauffällig im Hintergrund.</t>
  </si>
  <si>
    <t>Yes</t>
  </si>
  <si>
    <t>3D-Rendering eines modernen Badezimmers mit fugenlosem Boden in zwei verschiedenen Farbtönen (z. B. Anthrazit und Lichtgrau) nebeneinander dargestellt, um Farbwahl und Oberflächenoptik (matt vs. glänzend) klar zu visualisieren. Die versiegelte, geschlossene Bodenoberfläche soll realistisch und hochwertig wirken. Kleine Infografik-Elemente mit den vier Farbtönen am Bildrand.</t>
  </si>
  <si>
    <t>Bathroom</t>
  </si>
  <si>
    <t>A+ Image 1</t>
  </si>
  <si>
    <t>A+ 1</t>
  </si>
  <si>
    <t>Fugenloser Boden für Nassbereiche – einfach selbst gemacht. Professionelles 3-Komponenten-System für bis zu 5 m². Hygienisch, pflegeleicht, dauerhaft.</t>
  </si>
  <si>
    <t>Zentrales Key Visual: Das ELAN Komplettset (drei Produkt-Komponenten) steht prominent im Vordergrund auf einem frisch beschichteten, fugenlosem Boden in Steingrau. Hintergrund zeigt ein modernes Badezimmer, weich und hell ausgeleuchtet mit leichtem Tiefenunschärfe-Verlauf. Oben links grafisch eingebettet: Hauptversprechen 'Fugenloses System – 100% geschlossene Fläche' in weißer Schrift auf dunkler Farbfläche. Leicht versetzt darunter: 'Für Nassbereiche – Wasser- &amp; reinigungsmittelbeständig' mit passendem Icon. Kleiner Zoom-Kreis rechts unten zeigt die glatte, fugenlose Bodenoberfläche in Nahaufnahme als Detailhighlight.</t>
  </si>
  <si>
    <t>A+ Image 2</t>
  </si>
  <si>
    <t>A+ 2</t>
  </si>
  <si>
    <t>Einsatzorte: Badezimmer, Küche, Gäste-WC und Flur – ein System für alle Nassbereiche. Fugenfrei, wasserfest, pflegeleicht.</t>
  </si>
  <si>
    <t>Geteiltes Bild mit vier gleichmäßigen Feldern auf hellem Hintergrund. Jedes Feld zeigt einen typischen Einsatzort: Badezimmer, Küche, Gäste-WC, Flur. In jedem Feld ist der fertige fugenlose Boden in einem der vier Farbtöne sichtbar. Über jedem Feld ein Icon und ein kurzes Label (z.B. Tropfen-Icon + 'Nassbereich geeignet'). Unten ein farbiger Balken mit den vier Farbtönen als Kreise. Bildführung ist klar strukturiert, mobil lesbar.</t>
  </si>
  <si>
    <t>A+ Image 3</t>
  </si>
  <si>
    <t>A+ 3</t>
  </si>
  <si>
    <t>4 moderne Farbtöne – ein System, endlose Möglichkeiten</t>
  </si>
  <si>
    <t>Alle vier Farbvarianten des ELAN DIY-Wohn-Nassbereich Systems nebeneinander auf hellem, neutralem Hintergrund: Anthrazit RAL 7016, Steingrau RAL 7030, Lichtgrau RAL 7035 und Hellelfenbein RAL 1015. Jede Variante wird durch eine kleine Bodenprobe oder Farbfeld visualisiert, darunter der jeweilige Farbname und RAL-Code. Zusätzlich ein Hinweis auf die wahlweise matte oder glänzende Versiegelung. Klares, hochwertiges Layout mit minimalistischer Typografie.</t>
  </si>
  <si>
    <t>3D-Rendering von vier nebeneinander platzierten Bodenflächenausschnitten in den vier RAL-Farbtönen (7016, 7030, 7035, 1015), jeweils mit sichtbarer fugenloser Oberfläche in matter und glänzender Variante als Unterteilung. Farbnamen und RAL-Codes als Label darunter. Neutraler, heller Hintergrund.</t>
  </si>
  <si>
    <t>Studio</t>
  </si>
  <si>
    <t>A+ Image 4</t>
  </si>
  <si>
    <t>A+ 4</t>
  </si>
  <si>
    <t>3-Schritt-System: Grundierung – Beschichtung – Versiegelung für professionelle DIY-Ergebnisse</t>
  </si>
  <si>
    <t>Vertikale Schritt-für-Schritt-Komposition mit drei nummerierten Layern (1, 2, 3) von unten nach oben. Layer 1: ELAN OP-Primer 001 N – Epoxid-Grundierung für sichere Haftung. Layer 2: ELAN OP-Coat 500 – zähelastische PU-Designbeschichtung für Komfort und Belastbarkeit. Layer 3: ELAN OP-Coat 590 – PU-Versiegelung matt oder glänzend für dauerhaften Schutz. Jeder Layer wird durch ein Icon, den Produktnamen und eine kurze Aussage begleitet. Hintergrund neutral-hell, klare Struktur ohne Ablenkung.</t>
  </si>
  <si>
    <t>3D-Querschnitt-Visualisierung des dreischichtigen Bodenaufbaus: Untergrund, Grundierungsschicht (transparent-gelb), PU-Beschichtungsschicht (farbig, z. B. Anthrazit), Versiegelungsschicht (glänzend). Jede Schicht ist mit Beschriftung und Nummer klar abgegrenzt dargestellt.</t>
  </si>
  <si>
    <t>A+ Image 5</t>
  </si>
  <si>
    <t>A+ 5</t>
  </si>
  <si>
    <t>4 moderne Farbtöne – matter oder glänzender Abschluss – für jeden Einrichtungsstil</t>
  </si>
  <si>
    <t>Ruhiges, hochwertiges Markenbild mit einer Grid-Darstellung der vier Farbtöne (Anthrazit RAL 7016, Steingrau RAL 7030, Lichtgrau RAL 7035, Hellelfenbein RAL 1015) als gleichmäßige Farbfelder mit je zwei Oberflächen-Optiken (matt/glänzend). Jedes Farbfeld ist klar beschriftet. Darunter oder daneben das ELAN-Markenlogo sowie kurze grafisch eingebettete Aussagen: 'Fugenfrei. Pflegeleicht. Langlebig.' Neutraler, heller Hintergrund, minimalistisches Layout.</t>
  </si>
  <si>
    <t>Video</t>
  </si>
  <si>
    <t>Video Scene 1</t>
  </si>
  <si>
    <t>S 1</t>
  </si>
  <si>
    <t>Fugenlos, hygienisch, modern – dein neuer Boden in 3 Schritten</t>
  </si>
  <si>
    <t>Video description</t>
  </si>
  <si>
    <t>Splitscreen: links alter Fliesenboden mit sichtbaren Fugen, rechts glatte fugenlose PU-Beschichtung in Anthrazit – Texteinblendung «Keine Fugen. Kein Schmutz.»</t>
  </si>
  <si>
    <t>Real Video</t>
  </si>
  <si>
    <t>Nahaufnahme eines frisch beschichteten Bodens in Anthrazit im Studio – Kamera gleitet langsam über die makellose, fugenlose Oberfläche. Texteinblendung: «Fugenfrei. Hygienisch. Pflegeleicht.»</t>
  </si>
  <si>
    <t>3D-Animation zeigt den dreischichtigen Systemaufbau von unten nach oben: Untergrund, Epoxid-Grundierung, PU-Beschichtung, PU-Versiegelung – jede Schicht blendet sich mit deutschem Label ein</t>
  </si>
  <si>
    <t>Video Scene 2</t>
  </si>
  <si>
    <t>S 2</t>
  </si>
  <si>
    <t>Video Scene 3</t>
  </si>
  <si>
    <t>S 3</t>
  </si>
  <si>
    <t>Video Scene 4</t>
  </si>
  <si>
    <t>S 4</t>
  </si>
  <si>
    <t>Video Scene 5</t>
  </si>
  <si>
    <t>S 5</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</si>
</sst>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2.0"/>
      <color rgb="FF000000"/>
      <name val="Arial"/>
      <scheme val="minor"/>
    </font>
    <font>
      <sz val="12.0"/>
      <color rgb="FF000000"/>
      <name val="Arial"/>
      <scheme val="minor"/>
    </font>
    <font>
      <b/>
      <sz val="11.0"/>
      <color rgb="FFFFFFFF"/>
      <name val="Arial"/>
    </font>
    <font/>
    <font>
      <sz val="11.0"/>
      <color rgb="FFFFFFFF"/>
      <name val="Arial"/>
    </font>
    <font>
      <color rgb="FFFFFFFF"/>
      <name val="Arial"/>
    </font>
    <font>
      <color theme="1"/>
      <name val="Arial"/>
      <scheme val="minor"/>
    </font>
    <font>
      <color theme="1"/>
      <name val="Arial"/>
    </font>
    <font>
      <b/>
      <sz val="25.0"/>
      <color theme="1"/>
      <name val="Arial"/>
    </font>
    <font>
      <b/>
      <sz val="15.0"/>
      <color theme="1"/>
      <name val="Arial"/>
    </font>
  </fonts>
  <fills count="8">
    <fill>
      <patternFill patternType="none"/>
    </fill>
    <fill>
      <patternFill patternType="lightGray"/>
    </fill>
    <fill>
      <patternFill patternType="solid">
        <fgColor rgb="FF0B5394"/>
        <bgColor rgb="FF0B5394"/>
      </patternFill>
    </fill>
    <fill>
      <patternFill patternType="solid">
        <fgColor rgb="FFEFEFEF"/>
        <bgColor rgb="FFEFEFEF"/>
      </patternFill>
    </fill>
    <fill>
      <patternFill patternType="solid">
        <fgColor rgb="FFFFFFFF"/>
        <bgColor rgb="FFFFFFFF"/>
      </patternFill>
    </fill>
    <fill>
      <patternFill patternType="solid">
        <fgColor rgb="FF073763"/>
        <bgColor rgb="FF073763"/>
      </patternFill>
    </fill>
    <fill>
      <patternFill patternType="solid">
        <fgColor rgb="FFE69138"/>
        <bgColor rgb="FFE69138"/>
      </patternFill>
    </fill>
    <fill>
      <patternFill patternType="solid">
        <fgColor rgb="FF6AA84F"/>
        <bgColor rgb="FF6AA84F"/>
      </patternFill>
    </fill>
  </fills>
  <borders count="9">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s>
  <cellStyleXfs count="1">
    <xf borderId="0" fillId="0" fontId="0" numFmtId="0" applyAlignment="1" applyFont="1"/>
  </cellStyleXfs>
  <cellXfs count="9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left" readingOrder="0"/>
    </xf>
    <xf borderId="0" fillId="0" fontId="2" numFmtId="0" xfId="0" applyAlignment="1" applyFont="1">
      <alignment horizontal="left" readingOrder="0"/>
    </xf>
    <xf borderId="0" fillId="0" fontId="1" numFmtId="0" xfId="0" applyAlignment="1" applyFont="1">
      <alignment horizontal="center" readingOrder="0"/>
    </xf>
    <xf borderId="0" fillId="0" fontId="2" numFmtId="0" xfId="0" applyAlignment="1" applyFont="1">
      <alignment horizontal="center" readingOrder="0"/>
    </xf>
    <xf borderId="0" fillId="0" fontId="3" numFmtId="0" xfId="0" applyAlignment="1" applyFont="1">
      <alignment readingOrder="0" shrinkToFit="0" vertical="center" wrapText="1"/>
    </xf>
    <xf borderId="1" fillId="2" fontId="3" numFmtId="0" xfId="0" applyAlignment="1" applyBorder="1" applyFill="1" applyFont="1">
      <alignment horizontal="center" readingOrder="0" shrinkToFit="0" vertical="center" wrapText="1"/>
    </xf>
    <xf borderId="2" fillId="0" fontId="4" numFmtId="0" xfId="0" applyBorder="1" applyFont="1"/>
    <xf borderId="2" fillId="2" fontId="5" numFmtId="0" xfId="0" applyAlignment="1" applyBorder="1" applyFont="1">
      <alignment horizontal="left" readingOrder="0" shrinkToFit="0" vertical="center" wrapText="1"/>
    </xf>
    <xf borderId="2" fillId="2" fontId="6" numFmtId="0" xfId="0" applyAlignment="1" applyBorder="1" applyFont="1">
      <alignment horizontal="left" readingOrder="0" shrinkToFit="0" vertical="center" wrapText="1"/>
    </xf>
    <xf borderId="2" fillId="2" fontId="6" numFmtId="0" xfId="0" applyAlignment="1" applyBorder="1" applyFont="1">
      <alignment horizontal="center" shrinkToFit="0" vertical="center" wrapText="1"/>
    </xf>
    <xf borderId="3" fillId="2" fontId="6" numFmtId="0" xfId="0" applyAlignment="1" applyBorder="1" applyFont="1">
      <alignment horizontal="center" shrinkToFit="0" vertical="center" wrapText="1"/>
    </xf>
    <xf borderId="0" fillId="0" fontId="7" numFmtId="0" xfId="0" applyAlignment="1" applyFont="1">
      <alignment shrinkToFit="0" vertical="center" wrapText="1"/>
    </xf>
    <xf borderId="0" fillId="0" fontId="8" numFmtId="0" xfId="0" applyAlignment="1" applyFont="1">
      <alignment horizontal="center" shrinkToFit="0" vertical="center" wrapText="1"/>
    </xf>
    <xf borderId="4" fillId="3" fontId="9" numFmtId="0" xfId="0" applyAlignment="1" applyBorder="1" applyFill="1" applyFont="1">
      <alignment horizontal="center" readingOrder="0" shrinkToFit="0" vertical="center" wrapText="1"/>
    </xf>
    <xf borderId="0" fillId="3" fontId="8" numFmtId="0" xfId="0" applyAlignment="1" applyFont="1">
      <alignment horizontal="left" shrinkToFit="0" vertical="center" wrapText="1"/>
    </xf>
    <xf borderId="0" fillId="3" fontId="8" numFmtId="0" xfId="0" applyAlignment="1" applyFont="1">
      <alignment horizontal="left" readingOrder="0" shrinkToFit="0" vertical="center" wrapText="1"/>
    </xf>
    <xf borderId="0" fillId="3" fontId="8" numFmtId="0" xfId="0" applyAlignment="1" applyFont="1">
      <alignment horizontal="center" readingOrder="0" shrinkToFit="0" vertical="center" wrapText="1"/>
    </xf>
    <xf borderId="5" fillId="3" fontId="8" numFmtId="0" xfId="0" applyAlignment="1" applyBorder="1" applyFont="1">
      <alignment horizontal="center" readingOrder="0" shrinkToFit="0" vertical="center" wrapText="1"/>
    </xf>
    <xf borderId="4" fillId="0" fontId="4" numFmtId="0" xfId="0" applyBorder="1" applyFont="1"/>
    <xf borderId="0" fillId="4" fontId="8" numFmtId="0" xfId="0" applyAlignment="1" applyFill="1" applyFont="1">
      <alignment horizontal="left" readingOrder="0" shrinkToFit="0" vertical="center" wrapText="1"/>
    </xf>
    <xf borderId="0" fillId="4" fontId="8" numFmtId="0" xfId="0" applyAlignment="1" applyFont="1">
      <alignment horizontal="center" readingOrder="0" shrinkToFit="0" vertical="center" wrapText="1"/>
    </xf>
    <xf borderId="5" fillId="4" fontId="8" numFmtId="0" xfId="0" applyAlignment="1" applyBorder="1" applyFont="1">
      <alignment horizontal="center" readingOrder="0" shrinkToFit="0" vertical="center" wrapText="1"/>
    </xf>
    <xf borderId="0" fillId="0" fontId="6" numFmtId="0" xfId="0" applyAlignment="1" applyFont="1">
      <alignment readingOrder="0" shrinkToFit="0" vertical="center" wrapText="1"/>
    </xf>
    <xf borderId="4" fillId="5" fontId="6" numFmtId="0" xfId="0" applyAlignment="1" applyBorder="1" applyFill="1" applyFont="1">
      <alignment horizontal="center" readingOrder="0" shrinkToFit="0" vertical="center" wrapText="1"/>
    </xf>
    <xf borderId="0" fillId="5" fontId="6" numFmtId="0" xfId="0" applyAlignment="1" applyFont="1">
      <alignment horizontal="left" shrinkToFit="0" vertical="center" wrapText="1"/>
    </xf>
    <xf borderId="0" fillId="5" fontId="6" numFmtId="0" xfId="0" applyAlignment="1" applyFont="1">
      <alignment horizontal="left" readingOrder="0" shrinkToFit="0" vertical="center" wrapText="1"/>
    </xf>
    <xf borderId="0" fillId="5" fontId="6" numFmtId="0" xfId="0" applyAlignment="1" applyFont="1">
      <alignment horizontal="center" readingOrder="0" shrinkToFit="0" vertical="center" wrapText="1"/>
    </xf>
    <xf borderId="5" fillId="5" fontId="6" numFmtId="0" xfId="0" applyAlignment="1" applyBorder="1" applyFont="1">
      <alignment horizontal="center" readingOrder="0" shrinkToFit="0" vertical="center" wrapText="1"/>
    </xf>
    <xf borderId="0" fillId="0" fontId="8" numFmtId="0" xfId="0" applyAlignment="1" applyFont="1">
      <alignment readingOrder="0" shrinkToFit="0" vertical="center" wrapText="1"/>
    </xf>
    <xf borderId="4" fillId="3" fontId="8" numFmtId="0" xfId="0" applyAlignment="1" applyBorder="1" applyFont="1">
      <alignment horizontal="center" readingOrder="0" shrinkToFit="0" vertical="center" wrapText="1"/>
    </xf>
    <xf borderId="6" fillId="4" fontId="8" numFmtId="0" xfId="0" applyAlignment="1" applyBorder="1" applyFont="1">
      <alignment horizontal="center" readingOrder="0" shrinkToFit="0" vertical="center" wrapText="1"/>
    </xf>
    <xf borderId="7" fillId="4" fontId="8" numFmtId="0" xfId="0" applyAlignment="1" applyBorder="1" applyFont="1">
      <alignment horizontal="left" shrinkToFit="0" vertical="center" wrapText="1"/>
    </xf>
    <xf borderId="7" fillId="4" fontId="8" numFmtId="0" xfId="0" applyAlignment="1" applyBorder="1" applyFont="1">
      <alignment horizontal="left" readingOrder="0" shrinkToFit="0" vertical="center" wrapText="1"/>
    </xf>
    <xf borderId="7" fillId="4" fontId="8" numFmtId="0" xfId="0" applyAlignment="1" applyBorder="1" applyFont="1">
      <alignment horizontal="center" readingOrder="0" shrinkToFit="0" vertical="center" wrapText="1"/>
    </xf>
    <xf borderId="8" fillId="4" fontId="8" numFmtId="0" xfId="0" applyAlignment="1" applyBorder="1" applyFont="1">
      <alignment horizontal="center" readingOrder="0" shrinkToFit="0" vertical="center" wrapText="1"/>
    </xf>
    <xf borderId="0" fillId="4" fontId="7" numFmtId="0" xfId="0" applyAlignment="1" applyFont="1">
      <alignment shrinkToFit="0" vertical="center" wrapText="1"/>
    </xf>
    <xf borderId="0" fillId="0" fontId="7" numFmtId="0" xfId="0" applyAlignment="1" applyFont="1">
      <alignment horizontal="center" shrinkToFit="0" vertical="center" wrapText="1"/>
    </xf>
    <xf borderId="0" fillId="0" fontId="7" numFmtId="0" xfId="0" applyAlignment="1" applyFont="1">
      <alignment horizontal="left" shrinkToFit="0" vertical="center" wrapText="1"/>
    </xf>
    <xf borderId="2" fillId="2" fontId="3" numFmtId="0" xfId="0" applyAlignment="1" applyBorder="1" applyFont="1">
      <alignment horizontal="left" readingOrder="0" shrinkToFit="0" vertical="center" wrapText="1"/>
    </xf>
    <xf borderId="0" fillId="0" fontId="7" numFmtId="0" xfId="0" applyAlignment="1" applyFont="1">
      <alignment horizontal="left" readingOrder="0" shrinkToFit="0" vertical="center" wrapText="1"/>
    </xf>
    <xf borderId="4" fillId="0" fontId="7" numFmtId="0" xfId="0" applyAlignment="1" applyBorder="1" applyFont="1">
      <alignment horizontal="center" readingOrder="0" shrinkToFit="0" vertical="center" wrapText="1"/>
    </xf>
    <xf borderId="0" fillId="0" fontId="7" numFmtId="0" xfId="0" applyAlignment="1" applyFont="1">
      <alignment horizontal="center" readingOrder="0" shrinkToFit="0" vertical="center" wrapText="1"/>
    </xf>
    <xf borderId="5" fillId="0" fontId="7" numFmtId="0" xfId="0" applyAlignment="1" applyBorder="1" applyFont="1">
      <alignment horizontal="center" readingOrder="0" shrinkToFit="0" vertical="center" wrapText="1"/>
    </xf>
    <xf borderId="6" fillId="0" fontId="7" numFmtId="0" xfId="0" applyAlignment="1" applyBorder="1" applyFont="1">
      <alignment horizontal="center" readingOrder="0" shrinkToFit="0" vertical="center" wrapText="1"/>
    </xf>
    <xf borderId="7" fillId="0" fontId="7" numFmtId="0" xfId="0" applyAlignment="1" applyBorder="1" applyFont="1">
      <alignment horizontal="left" readingOrder="0" shrinkToFit="0" vertical="center" wrapText="1"/>
    </xf>
    <xf borderId="7" fillId="0" fontId="7" numFmtId="0" xfId="0" applyAlignment="1" applyBorder="1" applyFont="1">
      <alignment horizontal="center" readingOrder="0" shrinkToFit="0" vertical="center" wrapText="1"/>
    </xf>
    <xf borderId="8" fillId="0" fontId="7" numFmtId="0" xfId="0" applyAlignment="1" applyBorder="1" applyFont="1">
      <alignment horizontal="center" readingOrder="0" shrinkToFit="0" vertical="center" wrapText="1"/>
    </xf>
    <xf borderId="2" fillId="2" fontId="8" numFmtId="0" xfId="0" applyAlignment="1" applyBorder="1" applyFont="1">
      <alignment horizontal="left" shrinkToFit="0" vertical="center" wrapText="1"/>
    </xf>
    <xf borderId="2" fillId="2" fontId="5" numFmtId="0" xfId="0" applyAlignment="1" applyBorder="1" applyFont="1">
      <alignment horizontal="left" shrinkToFit="0" vertical="center" wrapText="1"/>
    </xf>
    <xf borderId="2" fillId="2" fontId="6" numFmtId="0" xfId="0" applyAlignment="1" applyBorder="1" applyFont="1">
      <alignment horizontal="left" shrinkToFit="0" vertical="center" wrapText="1"/>
    </xf>
    <xf borderId="2" fillId="2" fontId="8" numFmtId="0" xfId="0" applyAlignment="1" applyBorder="1" applyFont="1">
      <alignment horizontal="center" shrinkToFit="0" vertical="center" wrapText="1"/>
    </xf>
    <xf borderId="3" fillId="2" fontId="8" numFmtId="0" xfId="0" applyAlignment="1" applyBorder="1" applyFont="1">
      <alignment horizontal="center" shrinkToFit="0" vertical="center" wrapText="1"/>
    </xf>
    <xf borderId="0" fillId="3" fontId="8" numFmtId="0" xfId="0" applyAlignment="1" applyFont="1">
      <alignment horizontal="left" shrinkToFit="0" vertical="center" wrapText="1"/>
    </xf>
    <xf borderId="0" fillId="3" fontId="8" numFmtId="0" xfId="0" applyAlignment="1" applyFont="1">
      <alignment horizontal="center" shrinkToFit="0" vertical="center" wrapText="1"/>
    </xf>
    <xf borderId="5" fillId="3" fontId="8" numFmtId="0" xfId="0" applyAlignment="1" applyBorder="1" applyFont="1">
      <alignment horizontal="center" shrinkToFit="0" vertical="center" wrapText="1"/>
    </xf>
    <xf borderId="0" fillId="4" fontId="8" numFmtId="0" xfId="0" applyAlignment="1" applyFont="1">
      <alignment horizontal="left" shrinkToFit="0" vertical="center" wrapText="1"/>
    </xf>
    <xf borderId="0" fillId="4" fontId="8" numFmtId="0" xfId="0" applyAlignment="1" applyFont="1">
      <alignment horizontal="center" shrinkToFit="0" vertical="center" wrapText="1"/>
    </xf>
    <xf borderId="5" fillId="4" fontId="8" numFmtId="0" xfId="0" applyAlignment="1" applyBorder="1" applyFont="1">
      <alignment horizontal="center" shrinkToFit="0" vertical="center" wrapText="1"/>
    </xf>
    <xf borderId="4" fillId="5" fontId="6" numFmtId="0" xfId="0" applyAlignment="1" applyBorder="1" applyFont="1">
      <alignment horizontal="center" shrinkToFit="0" vertical="center" wrapText="1"/>
    </xf>
    <xf borderId="0" fillId="5" fontId="8" numFmtId="0" xfId="0" applyAlignment="1" applyFont="1">
      <alignment horizontal="left" shrinkToFit="0" vertical="center" wrapText="1"/>
    </xf>
    <xf borderId="0" fillId="5" fontId="6" numFmtId="0" xfId="0" applyAlignment="1" applyFont="1">
      <alignment horizontal="left" shrinkToFit="0" vertical="center" wrapText="1"/>
    </xf>
    <xf borderId="0" fillId="5" fontId="6" numFmtId="0" xfId="0" applyAlignment="1" applyFont="1">
      <alignment horizontal="center" shrinkToFit="0" vertical="center" wrapText="1"/>
    </xf>
    <xf borderId="5" fillId="5" fontId="6" numFmtId="0" xfId="0" applyAlignment="1" applyBorder="1" applyFont="1">
      <alignment horizontal="center" shrinkToFit="0" vertical="center" wrapText="1"/>
    </xf>
    <xf borderId="7" fillId="4" fontId="8" numFmtId="0" xfId="0" applyAlignment="1" applyBorder="1" applyFont="1">
      <alignment horizontal="left" shrinkToFit="0" vertical="center" wrapText="1"/>
    </xf>
    <xf borderId="8" fillId="0" fontId="8" numFmtId="0" xfId="0" applyAlignment="1" applyBorder="1" applyFont="1">
      <alignment horizontal="center" readingOrder="0" shrinkToFit="0" vertical="center" wrapText="1"/>
    </xf>
    <xf borderId="0" fillId="0" fontId="1" numFmtId="0" xfId="0" applyAlignment="1" applyFont="1">
      <alignment readingOrder="0" shrinkToFit="0" vertical="center" wrapText="1"/>
    </xf>
    <xf borderId="1" fillId="6" fontId="3" numFmtId="0" xfId="0" applyAlignment="1" applyBorder="1" applyFill="1" applyFont="1">
      <alignment horizontal="center" readingOrder="0" shrinkToFit="0" vertical="center" wrapText="1"/>
    </xf>
    <xf borderId="2" fillId="6" fontId="8" numFmtId="0" xfId="0" applyAlignment="1" applyBorder="1" applyFont="1">
      <alignment horizontal="left" shrinkToFit="0" vertical="center" wrapText="1"/>
    </xf>
    <xf borderId="2" fillId="6" fontId="5" numFmtId="0" xfId="0" applyAlignment="1" applyBorder="1" applyFont="1">
      <alignment horizontal="left" shrinkToFit="0" vertical="center" wrapText="1"/>
    </xf>
    <xf borderId="2" fillId="6" fontId="6" numFmtId="0" xfId="0" applyAlignment="1" applyBorder="1" applyFont="1">
      <alignment horizontal="left" shrinkToFit="0" vertical="center" wrapText="1"/>
    </xf>
    <xf borderId="2" fillId="6" fontId="8" numFmtId="0" xfId="0" applyAlignment="1" applyBorder="1" applyFont="1">
      <alignment horizontal="center" shrinkToFit="0" vertical="center" wrapText="1"/>
    </xf>
    <xf borderId="3" fillId="6" fontId="8" numFmtId="0" xfId="0" applyAlignment="1" applyBorder="1" applyFont="1">
      <alignment horizontal="center" shrinkToFit="0" vertical="center" wrapText="1"/>
    </xf>
    <xf borderId="0" fillId="0" fontId="8" numFmtId="0" xfId="0" applyAlignment="1" applyFont="1">
      <alignment shrinkToFit="0" vertical="center" wrapText="1"/>
    </xf>
    <xf borderId="4" fillId="0" fontId="8" numFmtId="0" xfId="0" applyAlignment="1" applyBorder="1" applyFont="1">
      <alignment horizontal="center" readingOrder="0" shrinkToFit="0" vertical="center" wrapText="1"/>
    </xf>
    <xf borderId="0" fillId="0" fontId="8" numFmtId="0" xfId="0" applyAlignment="1" applyFont="1">
      <alignment horizontal="center" readingOrder="0" shrinkToFit="0" vertical="center" wrapText="1"/>
    </xf>
    <xf borderId="5" fillId="0" fontId="8" numFmtId="0" xfId="0" applyAlignment="1" applyBorder="1" applyFont="1">
      <alignment horizontal="center" readingOrder="0" shrinkToFit="0" vertical="center" wrapText="1"/>
    </xf>
    <xf borderId="6" fillId="0" fontId="8" numFmtId="0" xfId="0" applyAlignment="1" applyBorder="1" applyFont="1">
      <alignment horizontal="center" readingOrder="0" shrinkToFit="0" vertical="center" wrapText="1"/>
    </xf>
    <xf borderId="7" fillId="0" fontId="8" numFmtId="0" xfId="0" applyAlignment="1" applyBorder="1" applyFont="1">
      <alignment horizontal="center"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2" numFmtId="0" xfId="0" applyAlignment="1" applyFont="1">
      <alignment horizontal="center" readingOrder="0" shrinkToFit="0" vertical="center" wrapText="1"/>
    </xf>
    <xf borderId="0" fillId="0" fontId="8" numFmtId="0" xfId="0" applyAlignment="1" applyFont="1">
      <alignment horizontal="left" shrinkToFit="0" vertical="center" wrapText="1"/>
    </xf>
    <xf borderId="0" fillId="0" fontId="10" numFmtId="0" xfId="0" applyAlignment="1" applyFont="1">
      <alignment horizontal="center" readingOrder="0" shrinkToFit="0" vertical="center" wrapText="1"/>
    </xf>
    <xf borderId="1" fillId="7" fontId="3" numFmtId="0" xfId="0" applyAlignment="1" applyBorder="1" applyFill="1" applyFont="1">
      <alignment horizontal="center" readingOrder="0" shrinkToFit="0" vertical="center" wrapText="1"/>
    </xf>
    <xf borderId="2" fillId="7" fontId="8" numFmtId="0" xfId="0" applyAlignment="1" applyBorder="1" applyFont="1">
      <alignment horizontal="left" shrinkToFit="0" vertical="center" wrapText="1"/>
    </xf>
    <xf borderId="2" fillId="7" fontId="5" numFmtId="0" xfId="0" applyAlignment="1" applyBorder="1" applyFont="1">
      <alignment horizontal="left" shrinkToFit="0" vertical="center" wrapText="1"/>
    </xf>
    <xf borderId="2" fillId="7" fontId="6" numFmtId="0" xfId="0" applyAlignment="1" applyBorder="1" applyFont="1">
      <alignment horizontal="left" shrinkToFit="0" vertical="center" wrapText="1"/>
    </xf>
    <xf borderId="2" fillId="7" fontId="8" numFmtId="0" xfId="0" applyAlignment="1" applyBorder="1" applyFont="1">
      <alignment horizontal="center" shrinkToFit="0" vertical="center" wrapText="1"/>
    </xf>
    <xf borderId="3" fillId="7" fontId="8" numFmtId="0" xfId="0" applyAlignment="1" applyBorder="1" applyFont="1">
      <alignment horizontal="center" shrinkToFit="0" vertical="center" wrapText="1"/>
    </xf>
    <xf borderId="0" fillId="0" fontId="8" numFmtId="0" xfId="0" applyAlignment="1" applyFont="1">
      <alignment vertical="bottom"/>
    </xf>
    <xf borderId="0" fillId="0" fontId="8" numFmtId="0" xfId="0" applyAlignment="1" applyFont="1">
      <alignment horizontal="center" vertical="bottom"/>
    </xf>
    <xf borderId="0" fillId="0" fontId="8" numFmtId="0" xfId="0" applyAlignment="1" applyFont="1">
      <alignment horizontal="left" vertical="bottom"/>
    </xf>
  </cellXfs>
  <cellStyles count="1">
    <cellStyle xfId="0" name="Normal" builtinId="0"/>
  </cellStyles>
  <dxfs count="2">
    <dxf>
      <font/>
      <fill>
        <patternFill patternType="solid">
          <fgColor rgb="FFD9EAD3"/>
          <bgColor rgb="FFD9EAD3"/>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13"/>
    <col customWidth="1" min="2" max="2" width="11.63"/>
    <col customWidth="1" min="3" max="3" width="37.75"/>
    <col customWidth="1" min="4" max="4" width="44.38"/>
    <col customWidth="1" min="5" max="5" width="38.25"/>
    <col customWidth="1" min="6" max="6" width="13.75"/>
    <col customWidth="1" min="7" max="7" width="19.13"/>
    <col customWidth="1" min="8" max="8" width="4.63"/>
  </cols>
  <sheetData>
    <row r="1">
      <c r="A1" s="1"/>
      <c r="B1" s="2" t="s">
        <v>0</v>
      </c>
      <c r="C1" s="2"/>
      <c r="D1" s="3"/>
      <c r="E1" s="2"/>
      <c r="F1" s="4"/>
      <c r="G1" s="5"/>
      <c r="H1" s="1"/>
    </row>
    <row r="2">
      <c r="A2" s="1"/>
      <c r="B2" s="4"/>
      <c r="C2" s="2"/>
      <c r="D2" s="3"/>
      <c r="E2" s="2"/>
      <c r="F2" s="4"/>
      <c r="G2" s="5"/>
      <c r="H2" s="1"/>
    </row>
    <row r="3">
      <c r="A3" s="6"/>
      <c r="B3" s="7" t="s">
        <v>1</v>
      </c>
      <c r="C3" s="8"/>
      <c r="D3" s="9" t="s">
        <v>2</v>
      </c>
      <c r="E3" s="10" t="s">
        <v>3</v>
      </c>
      <c r="F3" s="11"/>
      <c r="G3" s="12"/>
      <c r="H3" s="13"/>
    </row>
    <row r="4">
      <c r="A4" s="14"/>
      <c r="B4" s="15">
        <v>1.0</v>
      </c>
      <c r="C4" s="16" t="s">
        <v>4</v>
      </c>
      <c r="D4" s="17" t="s">
        <v>5</v>
      </c>
      <c r="E4" s="17" t="str">
        <f>IFERROR(__xludf.DUMMYFUNCTION("IF(D4="""", """", GOOGLETRANSLATE(D4, ""de"", ""en""))"),"Seamless flooring system · 5 m² complete set")</f>
        <v>Seamless flooring system · 5 m² complete set</v>
      </c>
      <c r="F4" s="18"/>
      <c r="G4" s="19"/>
      <c r="H4" s="13"/>
    </row>
    <row r="5">
      <c r="A5" s="14"/>
      <c r="B5" s="20"/>
      <c r="C5" s="21" t="s">
        <v>6</v>
      </c>
      <c r="D5" s="21" t="s">
        <v>7</v>
      </c>
      <c r="E5" s="21" t="str">
        <f>IFERROR(__xludf.DUMMYFUNCTION("IF(D5="""", """", GOOGLETRANSLATE(D5, ""de"", ""en""))"),"All three product components are arranged centrally against a white background: The largest unit, ELAN OP-Coat 500 (15 kg, A+B containers), is prominently positioned in the middle, with the smaller ELAN OP-Primer 001 N (1.95 kg) to its left and the sealan"&amp;"t ELAN OP-Coat 590 (2 kg) to its right. All containers are positioned upright, slightly offset to create a sense of depth. A subtle, natural shadow is cast beneath the products. A sticker label in the upper right corner displays '5 m² Complete Set'. Four "&amp;"small colored circles (anthracite, stone gray, light gray, light ivory) without text are positioned below the products.")</f>
        <v>All three product components are arranged centrally against a white background: The largest unit, ELAN OP-Coat 500 (15 kg, A+B containers), is prominently positioned in the middle, with the smaller ELAN OP-Primer 001 N (1.95 kg) to its left and the sealant ELAN OP-Coat 590 (2 kg) to its right. All containers are positioned upright, slightly offset to create a sense of depth. A subtle, natural shadow is cast beneath the products. A sticker label in the upper right corner displays '5 m² Complete Set'. Four small colored circles (anthracite, stone gray, light gray, light ivory) without text are positioned below the products.</v>
      </c>
      <c r="F5" s="22"/>
      <c r="G5" s="23"/>
      <c r="H5" s="13"/>
    </row>
    <row r="6">
      <c r="A6" s="24"/>
      <c r="B6" s="25" t="s">
        <v>8</v>
      </c>
      <c r="C6" s="26"/>
      <c r="D6" s="27" t="s">
        <v>9</v>
      </c>
      <c r="E6" s="27" t="s">
        <v>10</v>
      </c>
      <c r="F6" s="28" t="s">
        <v>11</v>
      </c>
      <c r="G6" s="29" t="s">
        <v>12</v>
      </c>
      <c r="H6" s="13"/>
    </row>
    <row r="7">
      <c r="A7" s="30"/>
      <c r="B7" s="31" t="s">
        <v>13</v>
      </c>
      <c r="C7" s="16" t="s">
        <v>14</v>
      </c>
      <c r="D7" s="17" t="s">
        <v>13</v>
      </c>
      <c r="E7" s="17" t="str">
        <f>IFERROR(__xludf.DUMMYFUNCTION("IF(D7="""", """", GOOGLETRANSLATE(D7, ""de"", ""en""))"),"No")</f>
        <v>No</v>
      </c>
      <c r="F7" s="18" t="s">
        <v>13</v>
      </c>
      <c r="G7" s="19" t="s">
        <v>13</v>
      </c>
      <c r="H7" s="13"/>
    </row>
    <row r="8">
      <c r="A8" s="30"/>
      <c r="B8" s="32" t="s">
        <v>13</v>
      </c>
      <c r="C8" s="33" t="s">
        <v>15</v>
      </c>
      <c r="D8" s="34" t="s">
        <v>13</v>
      </c>
      <c r="E8" s="34" t="str">
        <f>IFERROR(__xludf.DUMMYFUNCTION("IF(D8="""", """", GOOGLETRANSLATE(D8, ""de"", ""en""))"),"No")</f>
        <v>No</v>
      </c>
      <c r="F8" s="35" t="s">
        <v>13</v>
      </c>
      <c r="G8" s="36" t="s">
        <v>13</v>
      </c>
      <c r="H8" s="37"/>
    </row>
    <row r="9">
      <c r="A9" s="13"/>
      <c r="B9" s="38"/>
      <c r="C9" s="39"/>
      <c r="D9" s="39"/>
      <c r="E9" s="39"/>
      <c r="F9" s="38"/>
      <c r="G9" s="38"/>
      <c r="H9" s="13"/>
    </row>
    <row r="10">
      <c r="A10" s="13"/>
      <c r="B10" s="7" t="s">
        <v>16</v>
      </c>
      <c r="C10" s="40"/>
      <c r="D10" s="9" t="s">
        <v>2</v>
      </c>
      <c r="E10" s="10" t="s">
        <v>3</v>
      </c>
      <c r="F10" s="11"/>
      <c r="G10" s="12"/>
      <c r="H10" s="13"/>
    </row>
    <row r="11">
      <c r="A11" s="13"/>
      <c r="B11" s="15">
        <v>2.0</v>
      </c>
      <c r="C11" s="16" t="s">
        <v>4</v>
      </c>
      <c r="D11" s="41" t="s">
        <v>17</v>
      </c>
      <c r="E11" s="17" t="str">
        <f>IFERROR(__xludf.DUMMYFUNCTION("IF(D11="""", """", GOOGLETRANSLATE(D11, ""de"", ""en""))"),"1. Seamless system – completely sealed floor surface without dirt traps | 2. Complete set: primer + PU coating + sealant | 3. Specially designed for wet areas – water and cleaning agent resistant")</f>
        <v>1. Seamless system – completely sealed floor surface without dirt traps | 2. Complete set: primer + PU coating + sealant | 3. Specially designed for wet areas – water and cleaning agent resistant</v>
      </c>
      <c r="F11" s="18"/>
      <c r="G11" s="19"/>
      <c r="H11" s="13"/>
    </row>
    <row r="12">
      <c r="A12" s="13"/>
      <c r="B12" s="20"/>
      <c r="C12" s="21" t="s">
        <v>6</v>
      </c>
      <c r="D12" s="21" t="s">
        <v>18</v>
      </c>
      <c r="E12" s="21" t="str">
        <f>IFERROR(__xludf.DUMMYFUNCTION("IF(D12="""", """", GOOGLETRANSLATE(D12, ""de"", ""en""))"),"A centered product set (all three components side by side) on a neutral background, split on the left with a seamless anthracite-colored floor surface as context. Three horizontal icon bars to the right of the product graphically display the three benefit"&amp;" texts. Stock element: Top view of a seamless, sealed floor surface as the background half.")</f>
        <v>A centered product set (all three components side by side) on a neutral background, split on the left with a seamless anthracite-colored floor surface as context. Three horizontal icon bars to the right of the product graphically display the three benefit texts. Stock element: Top view of a seamless, sealed floor surface as the background half.</v>
      </c>
      <c r="F12" s="22"/>
      <c r="G12" s="23"/>
      <c r="H12" s="13"/>
    </row>
    <row r="13">
      <c r="A13" s="13"/>
      <c r="B13" s="25" t="s">
        <v>8</v>
      </c>
      <c r="C13" s="26"/>
      <c r="D13" s="27" t="s">
        <v>9</v>
      </c>
      <c r="E13" s="27" t="s">
        <v>10</v>
      </c>
      <c r="F13" s="28" t="s">
        <v>11</v>
      </c>
      <c r="G13" s="29" t="s">
        <v>12</v>
      </c>
      <c r="H13" s="13"/>
    </row>
    <row r="14">
      <c r="A14" s="13"/>
      <c r="B14" s="42" t="s">
        <v>13</v>
      </c>
      <c r="C14" s="16" t="s">
        <v>14</v>
      </c>
      <c r="D14" s="41" t="s">
        <v>13</v>
      </c>
      <c r="E14" s="17" t="str">
        <f>IFERROR(__xludf.DUMMYFUNCTION("IF(D14="""", """", GOOGLETRANSLATE(D14, ""de"", ""en""))"),"No")</f>
        <v>No</v>
      </c>
      <c r="F14" s="43" t="s">
        <v>13</v>
      </c>
      <c r="G14" s="44" t="s">
        <v>13</v>
      </c>
      <c r="H14" s="13"/>
    </row>
    <row r="15">
      <c r="A15" s="13"/>
      <c r="B15" s="45" t="s">
        <v>13</v>
      </c>
      <c r="C15" s="33" t="s">
        <v>15</v>
      </c>
      <c r="D15" s="46" t="s">
        <v>13</v>
      </c>
      <c r="E15" s="34" t="str">
        <f>IFERROR(__xludf.DUMMYFUNCTION("IF(D15="""", """", GOOGLETRANSLATE(D15, ""de"", ""en""))"),"No")</f>
        <v>No</v>
      </c>
      <c r="F15" s="47" t="s">
        <v>13</v>
      </c>
      <c r="G15" s="48" t="s">
        <v>13</v>
      </c>
      <c r="H15" s="13"/>
    </row>
    <row r="16">
      <c r="A16" s="13"/>
      <c r="B16" s="38"/>
      <c r="C16" s="39"/>
      <c r="D16" s="39"/>
      <c r="E16" s="39"/>
      <c r="F16" s="38"/>
      <c r="G16" s="38"/>
      <c r="H16" s="13"/>
    </row>
    <row r="17">
      <c r="A17" s="13"/>
      <c r="B17" s="7" t="s">
        <v>19</v>
      </c>
      <c r="C17" s="49"/>
      <c r="D17" s="50" t="s">
        <v>2</v>
      </c>
      <c r="E17" s="51" t="s">
        <v>3</v>
      </c>
      <c r="F17" s="52"/>
      <c r="G17" s="53"/>
      <c r="H17" s="13"/>
    </row>
    <row r="18">
      <c r="A18" s="13"/>
      <c r="B18" s="15">
        <v>3.0</v>
      </c>
      <c r="C18" s="54" t="s">
        <v>4</v>
      </c>
      <c r="D18" s="41" t="s">
        <v>20</v>
      </c>
      <c r="E18" s="54" t="str">
        <f>IFERROR(__xludf.DUMMYFUNCTION("IF(D18="""", """", GOOGLETRANSLATE(D18, ""de"", ""en""))"),"Five reasons why this flooring system is so compelling: 1. Seamless – no more dirt traps. 2. Resilient and resilient – ​​comfortable walking and quiet footsteps. 3. Waterproof – ideal for bathrooms, toilets, and kitchens. 4. DIY-friendly – ​​install step-"&amp;"by-step without a professional. 5. Easy to clean – simply wipe clean, and you're done.")</f>
        <v>Five reasons why this flooring system is so compelling: 1. Seamless – no more dirt traps. 2. Resilient and resilient – ​​comfortable walking and quiet footsteps. 3. Waterproof – ideal for bathrooms, toilets, and kitchens. 4. DIY-friendly – ​​install step-by-step without a professional. 5. Easy to clean – simply wipe clean, and you're done.</v>
      </c>
      <c r="F18" s="55"/>
      <c r="G18" s="56"/>
      <c r="H18" s="13"/>
    </row>
    <row r="19">
      <c r="A19" s="13"/>
      <c r="B19" s="20"/>
      <c r="C19" s="57" t="s">
        <v>6</v>
      </c>
      <c r="D19" s="41" t="s">
        <v>21</v>
      </c>
      <c r="E19" s="57" t="str">
        <f>IFERROR(__xludf.DUMMYFUNCTION("IF(D19="""", """", GOOGLETRANSLATE(D19, ""de"", ""en""))"),"The central hero element is the ELAN DIY wet area set (all three components arranged as a product group) against a light, neutral background in white or light gray. Five benefit clusters are arranged star-shaped around the product, each connected by thin,"&amp;" elegant anthracite lines. Each cluster consists of a minimalist icon (e.g., grout line symbol, shoe comfort symbol, water droplet, tool hand, mop) and a short benefit text in a large, clear font. Design colors: anthracite (#373F47) as an accent and a war"&amp;"m stone gray as a secondary color, with a neutral white base. The layout is calm, airy, and mobile-optimized with generous spacing.")</f>
        <v>The central hero element is the ELAN DIY wet area set (all three components arranged as a product group) against a light, neutral background in white or light gray. Five benefit clusters are arranged star-shaped around the product, each connected by thin, elegant anthracite lines. Each cluster consists of a minimalist icon (e.g., grout line symbol, shoe comfort symbol, water droplet, tool hand, mop) and a short benefit text in a large, clear font. Design colors: anthracite (#373F47) as an accent and a warm stone gray as a secondary color, with a neutral white base. The layout is calm, airy, and mobile-optimized with generous spacing.</v>
      </c>
      <c r="F19" s="58"/>
      <c r="G19" s="59"/>
      <c r="H19" s="13"/>
    </row>
    <row r="20">
      <c r="A20" s="13"/>
      <c r="B20" s="60" t="s">
        <v>8</v>
      </c>
      <c r="C20" s="61"/>
      <c r="D20" s="62" t="s">
        <v>9</v>
      </c>
      <c r="E20" s="62" t="s">
        <v>10</v>
      </c>
      <c r="F20" s="63" t="s">
        <v>11</v>
      </c>
      <c r="G20" s="64" t="s">
        <v>12</v>
      </c>
      <c r="H20" s="13"/>
    </row>
    <row r="21">
      <c r="A21" s="13"/>
      <c r="B21" s="42" t="s">
        <v>13</v>
      </c>
      <c r="C21" s="54" t="s">
        <v>14</v>
      </c>
      <c r="D21" s="41" t="s">
        <v>13</v>
      </c>
      <c r="E21" s="54" t="str">
        <f>IFERROR(__xludf.DUMMYFUNCTION("IF(D21="""", """", GOOGLETRANSLATE(D21, ""de"", ""en""))"),"No")</f>
        <v>No</v>
      </c>
      <c r="F21" s="43" t="s">
        <v>13</v>
      </c>
      <c r="G21" s="44" t="s">
        <v>13</v>
      </c>
      <c r="H21" s="13"/>
    </row>
    <row r="22">
      <c r="A22" s="13"/>
      <c r="B22" s="45" t="s">
        <v>13</v>
      </c>
      <c r="C22" s="65" t="s">
        <v>15</v>
      </c>
      <c r="D22" s="46" t="s">
        <v>13</v>
      </c>
      <c r="E22" s="65" t="str">
        <f>IFERROR(__xludf.DUMMYFUNCTION("IF(D22="""", """", GOOGLETRANSLATE(D22, ""de"", ""en""))"),"No")</f>
        <v>No</v>
      </c>
      <c r="F22" s="47" t="s">
        <v>13</v>
      </c>
      <c r="G22" s="48" t="s">
        <v>13</v>
      </c>
      <c r="H22" s="13"/>
    </row>
    <row r="23">
      <c r="A23" s="13"/>
      <c r="B23" s="38"/>
      <c r="C23" s="39"/>
      <c r="D23" s="39"/>
      <c r="E23" s="39"/>
      <c r="F23" s="38"/>
      <c r="G23" s="38"/>
      <c r="H23" s="13"/>
    </row>
    <row r="24">
      <c r="A24" s="13"/>
      <c r="B24" s="7" t="s">
        <v>22</v>
      </c>
      <c r="C24" s="49"/>
      <c r="D24" s="50" t="s">
        <v>2</v>
      </c>
      <c r="E24" s="51" t="s">
        <v>3</v>
      </c>
      <c r="F24" s="52"/>
      <c r="G24" s="53"/>
      <c r="H24" s="13"/>
    </row>
    <row r="25">
      <c r="A25" s="13"/>
      <c r="B25" s="15">
        <v>4.0</v>
      </c>
      <c r="C25" s="54" t="s">
        <v>4</v>
      </c>
      <c r="D25" s="41" t="s">
        <v>23</v>
      </c>
      <c r="E25" s="54" t="str">
        <f>IFERROR(__xludf.DUMMYFUNCTION("IF(D25="""", """", GOOGLETRANSLATE(D25, ""de"", ""en""))"),"Easy DIY application in 3 steps – professional results without specialist knowledge. Tough, elastic PU coating for comfortable walking.")</f>
        <v>Easy DIY application in 3 steps – professional results without specialist knowledge. Tough, elastic PU coating for comfortable walking.</v>
      </c>
      <c r="F25" s="55"/>
      <c r="G25" s="56"/>
      <c r="H25" s="13"/>
    </row>
    <row r="26">
      <c r="A26" s="13"/>
      <c r="B26" s="20"/>
      <c r="C26" s="57" t="s">
        <v>6</v>
      </c>
      <c r="D26" s="41" t="s">
        <v>24</v>
      </c>
      <c r="E26" s="57" t="str">
        <f>IFERROR(__xludf.DUMMYFUNCTION("IF(D26="""", """", GOOGLETRANSLATE(D26, ""de"", ""en""))"),"Light, divided background (subtle gray on the left, white on the right). In the left half of the image, the product set is shown slightly offset and centered. To the right of it is a vertical step-by-step graphic with three numbered steps, each with a sim"&amp;"ple icon: 1. Apply primer (icon: brush/roller on surface) – 'Apply ELAN OP-Primer 001 N'. 2. Apply PU coating (icon: squeegee/spatula) – 'Spread ELAN OP-Coat 500 evenly'. 3. Apply sealant (icon: glossy surface) – 'Finish with ELAN OP-Coat 590 as a protect"&amp;"ive layer'. Below the steps is a short explanatory text: 'Tough and elastic – noticeably reduces footfall noise'. The color palette is subtly displayed in the lower part of the image as four small color swatches: anthracite, stone gray, light gray, and li"&amp;"ght ivory.")</f>
        <v>Light, divided background (subtle gray on the left, white on the right). In the left half of the image, the product set is shown slightly offset and centered. To the right of it is a vertical step-by-step graphic with three numbered steps, each with a simple icon: 1. Apply primer (icon: brush/roller on surface) – 'Apply ELAN OP-Primer 001 N'. 2. Apply PU coating (icon: squeegee/spatula) – 'Spread ELAN OP-Coat 500 evenly'. 3. Apply sealant (icon: glossy surface) – 'Finish with ELAN OP-Coat 590 as a protective layer'. Below the steps is a short explanatory text: 'Tough and elastic – noticeably reduces footfall noise'. The color palette is subtly displayed in the lower part of the image as four small color swatches: anthracite, stone gray, light gray, and light ivory.</v>
      </c>
      <c r="F26" s="58"/>
      <c r="G26" s="59"/>
      <c r="H26" s="13"/>
    </row>
    <row r="27">
      <c r="A27" s="13"/>
      <c r="B27" s="60" t="s">
        <v>8</v>
      </c>
      <c r="C27" s="61"/>
      <c r="D27" s="62" t="s">
        <v>9</v>
      </c>
      <c r="E27" s="62" t="s">
        <v>10</v>
      </c>
      <c r="F27" s="63" t="s">
        <v>11</v>
      </c>
      <c r="G27" s="64" t="s">
        <v>12</v>
      </c>
      <c r="H27" s="13"/>
    </row>
    <row r="28">
      <c r="A28" s="13"/>
      <c r="B28" s="42" t="s">
        <v>13</v>
      </c>
      <c r="C28" s="54" t="s">
        <v>14</v>
      </c>
      <c r="D28" s="41" t="s">
        <v>13</v>
      </c>
      <c r="E28" s="54" t="str">
        <f>IFERROR(__xludf.DUMMYFUNCTION("IF(D28="""", """", GOOGLETRANSLATE(D28, ""de"", ""en""))"),"No")</f>
        <v>No</v>
      </c>
      <c r="F28" s="43" t="s">
        <v>13</v>
      </c>
      <c r="G28" s="44" t="s">
        <v>13</v>
      </c>
      <c r="H28" s="13"/>
    </row>
    <row r="29">
      <c r="A29" s="13"/>
      <c r="B29" s="45" t="s">
        <v>13</v>
      </c>
      <c r="C29" s="65" t="s">
        <v>15</v>
      </c>
      <c r="D29" s="46" t="s">
        <v>13</v>
      </c>
      <c r="E29" s="65" t="str">
        <f>IFERROR(__xludf.DUMMYFUNCTION("IF(D29="""", """", GOOGLETRANSLATE(D29, ""de"", ""en""))"),"No")</f>
        <v>No</v>
      </c>
      <c r="F29" s="47" t="s">
        <v>13</v>
      </c>
      <c r="G29" s="48" t="s">
        <v>13</v>
      </c>
      <c r="H29" s="13"/>
    </row>
    <row r="30">
      <c r="A30" s="13"/>
      <c r="B30" s="38"/>
      <c r="C30" s="39"/>
      <c r="D30" s="39"/>
      <c r="E30" s="39"/>
      <c r="F30" s="38"/>
      <c r="G30" s="38"/>
      <c r="H30" s="13"/>
    </row>
    <row r="31">
      <c r="A31" s="13"/>
      <c r="B31" s="7" t="s">
        <v>25</v>
      </c>
      <c r="C31" s="49"/>
      <c r="D31" s="50" t="s">
        <v>2</v>
      </c>
      <c r="E31" s="51" t="s">
        <v>3</v>
      </c>
      <c r="F31" s="52"/>
      <c r="G31" s="53"/>
      <c r="H31" s="13"/>
    </row>
    <row r="32">
      <c r="A32" s="13"/>
      <c r="B32" s="15">
        <v>5.0</v>
      </c>
      <c r="C32" s="54" t="s">
        <v>4</v>
      </c>
      <c r="D32" s="41" t="s">
        <v>26</v>
      </c>
      <c r="E32" s="54" t="str">
        <f>IFERROR(__xludf.DUMMYFUNCTION("IF(D32="""", """", GOOGLETRANSLATE(D32, ""de"", ""en""))"),"4 modern colors – for every interior design style. Choice of matte or glossy finish.")</f>
        <v>4 modern colors – for every interior design style. Choice of matte or glossy finish.</v>
      </c>
      <c r="F32" s="55"/>
      <c r="G32" s="56"/>
      <c r="H32" s="13"/>
    </row>
    <row r="33">
      <c r="A33" s="13"/>
      <c r="B33" s="20"/>
      <c r="C33" s="57" t="s">
        <v>6</v>
      </c>
      <c r="D33" s="41" t="s">
        <v>27</v>
      </c>
      <c r="E33" s="57" t="str">
        <f>IFERROR(__xludf.DUMMYFUNCTION("IF(D33="""", """", GOOGLETRANSLATE(D33, ""de"", ""en""))"),"Bathroom with a freshly applied, seamless floor in stone grey RAL 7030 – the smooth, sealed surface is clearly visible. The four product components of the set are shown side-by-side on the finished floor. Next to them are four small color sample rectangle"&amp;"s representing the four available shades (anthracite, stone grey, light grey, and light ivory). The room has a bright and modern design with white walls and minimalist accessories. The seamless, continuous floor surface is clearly visible and stands out f"&amp;"rom traditional tiled floors.")</f>
        <v>Bathroom with a freshly applied, seamless floor in stone grey RAL 7030 – the smooth, sealed surface is clearly visible. The four product components of the set are shown side-by-side on the finished floor. Next to them are four small color sample rectangles representing the four available shades (anthracite, stone grey, light grey, and light ivory). The room has a bright and modern design with white walls and minimalist accessories. The seamless, continuous floor surface is clearly visible and stands out from traditional tiled floors.</v>
      </c>
      <c r="F33" s="58"/>
      <c r="G33" s="59"/>
      <c r="H33" s="13"/>
    </row>
    <row r="34">
      <c r="A34" s="13"/>
      <c r="B34" s="60" t="s">
        <v>8</v>
      </c>
      <c r="C34" s="61"/>
      <c r="D34" s="62" t="s">
        <v>9</v>
      </c>
      <c r="E34" s="62" t="s">
        <v>10</v>
      </c>
      <c r="F34" s="63" t="s">
        <v>11</v>
      </c>
      <c r="G34" s="64" t="s">
        <v>12</v>
      </c>
      <c r="H34" s="13"/>
    </row>
    <row r="35">
      <c r="A35" s="13"/>
      <c r="B35" s="42" t="s">
        <v>13</v>
      </c>
      <c r="C35" s="54" t="s">
        <v>14</v>
      </c>
      <c r="D35" s="41" t="s">
        <v>13</v>
      </c>
      <c r="E35" s="54" t="str">
        <f>IFERROR(__xludf.DUMMYFUNCTION("IF(D35="""", """", GOOGLETRANSLATE(D35, ""de"", ""en""))"),"No")</f>
        <v>No</v>
      </c>
      <c r="F35" s="43" t="s">
        <v>13</v>
      </c>
      <c r="G35" s="44" t="s">
        <v>13</v>
      </c>
      <c r="H35" s="13"/>
    </row>
    <row r="36">
      <c r="A36" s="13"/>
      <c r="B36" s="45" t="s">
        <v>13</v>
      </c>
      <c r="C36" s="65" t="s">
        <v>15</v>
      </c>
      <c r="D36" s="46" t="s">
        <v>13</v>
      </c>
      <c r="E36" s="65" t="str">
        <f>IFERROR(__xludf.DUMMYFUNCTION("IF(D36="""", """", GOOGLETRANSLATE(D36, ""de"", ""en""))"),"No")</f>
        <v>No</v>
      </c>
      <c r="F36" s="47" t="s">
        <v>13</v>
      </c>
      <c r="G36" s="48" t="s">
        <v>13</v>
      </c>
      <c r="H36" s="13"/>
    </row>
    <row r="37">
      <c r="A37" s="13"/>
      <c r="B37" s="38"/>
      <c r="C37" s="39"/>
      <c r="D37" s="39"/>
      <c r="E37" s="39"/>
      <c r="F37" s="38"/>
      <c r="G37" s="38"/>
      <c r="H37" s="13"/>
    </row>
    <row r="38">
      <c r="A38" s="13"/>
      <c r="B38" s="7" t="s">
        <v>28</v>
      </c>
      <c r="C38" s="49"/>
      <c r="D38" s="50" t="s">
        <v>2</v>
      </c>
      <c r="E38" s="51" t="s">
        <v>3</v>
      </c>
      <c r="F38" s="52"/>
      <c r="G38" s="53"/>
      <c r="H38" s="13"/>
    </row>
    <row r="39">
      <c r="A39" s="13"/>
      <c r="B39" s="15">
        <v>6.0</v>
      </c>
      <c r="C39" s="54" t="s">
        <v>4</v>
      </c>
      <c r="D39" s="41" t="s">
        <v>29</v>
      </c>
      <c r="E39" s="54" t="str">
        <f>IFERROR(__xludf.DUMMYFUNCTION("IF(D39="""", """", GOOGLETRANSLATE(D39, ""de"", ""en""))"),"Four modern colors – from anthracite to light ivory. Choice of matte or glossy finish for your individual style.")</f>
        <v>Four modern colors – from anthracite to light ivory. Choice of matte or glossy finish for your individual style.</v>
      </c>
      <c r="F39" s="55"/>
      <c r="G39" s="56"/>
      <c r="H39" s="13"/>
    </row>
    <row r="40">
      <c r="A40" s="13"/>
      <c r="B40" s="20"/>
      <c r="C40" s="57" t="s">
        <v>6</v>
      </c>
      <c r="D40" s="41" t="s">
        <v>30</v>
      </c>
      <c r="E40" s="57" t="str">
        <f>IFERROR(__xludf.DUMMYFUNCTION("IF(D40="""", """", GOOGLETRANSLATE(D40, ""de"", ""en""))"),"A modern bathroom with a freshly coated, seamless floor in two side-by-side color variations – e.g., anthracite RAL 7016 and light gray RAL 7035. The floor occupies most of the image, clearly showing its smooth, sealed surface. Simple bathroom accessories"&amp;" (sink, towels) are visible in the background. Small color swatches or labels displaying the four shades (anthracite, stone gray, light gray, light ivory) are discreetly integrated along the bottom edge of the image. The product set (the three component c"&amp;"ontainers) is unobtrusively positioned in the background.")</f>
        <v>A modern bathroom with a freshly coated, seamless floor in two side-by-side color variations – e.g., anthracite RAL 7016 and light gray RAL 7035. The floor occupies most of the image, clearly showing its smooth, sealed surface. Simple bathroom accessories (sink, towels) are visible in the background. Small color swatches or labels displaying the four shades (anthracite, stone gray, light gray, light ivory) are discreetly integrated along the bottom edge of the image. The product set (the three component containers) is unobtrusively positioned in the background.</v>
      </c>
      <c r="F40" s="58"/>
      <c r="G40" s="59"/>
      <c r="H40" s="13"/>
    </row>
    <row r="41">
      <c r="A41" s="13"/>
      <c r="B41" s="60" t="s">
        <v>8</v>
      </c>
      <c r="C41" s="61"/>
      <c r="D41" s="62" t="s">
        <v>9</v>
      </c>
      <c r="E41" s="62" t="s">
        <v>10</v>
      </c>
      <c r="F41" s="63" t="s">
        <v>11</v>
      </c>
      <c r="G41" s="64" t="s">
        <v>12</v>
      </c>
      <c r="H41" s="13"/>
    </row>
    <row r="42">
      <c r="A42" s="13"/>
      <c r="B42" s="42" t="s">
        <v>13</v>
      </c>
      <c r="C42" s="54"/>
      <c r="D42" s="41" t="s">
        <v>13</v>
      </c>
      <c r="E42" s="54" t="str">
        <f>IFERROR(__xludf.DUMMYFUNCTION("IF(D42="""", """", GOOGLETRANSLATE(D42, ""de"", ""en""))"),"No")</f>
        <v>No</v>
      </c>
      <c r="F42" s="43" t="s">
        <v>13</v>
      </c>
      <c r="G42" s="44" t="s">
        <v>13</v>
      </c>
      <c r="H42" s="13"/>
    </row>
    <row r="43">
      <c r="A43" s="13"/>
      <c r="B43" s="45" t="s">
        <v>31</v>
      </c>
      <c r="C43" s="65" t="s">
        <v>15</v>
      </c>
      <c r="D43" s="34" t="s">
        <v>32</v>
      </c>
      <c r="E43" s="65" t="str">
        <f>IFERROR(__xludf.DUMMYFUNCTION("IF(D43="""", """", GOOGLETRANSLATE(D43, ""de"", ""en""))"),"3D rendering of a modern bathroom with a seamless floor in two different shades (e.g., anthracite and light gray) shown side by side to clearly visualize color choices and surface finish (matte vs. glossy). The sealed, closed floor surface is intended to "&amp;"appear realistic and high-quality. Small infographic elements showing the four color shades are located at the edge of the image.")</f>
        <v>3D rendering of a modern bathroom with a seamless floor in two different shades (e.g., anthracite and light gray) shown side by side to clearly visualize color choices and surface finish (matte vs. glossy). The sealed, closed floor surface is intended to appear realistic and high-quality. Small infographic elements showing the four color shades are located at the edge of the image.</v>
      </c>
      <c r="F43" s="47" t="s">
        <v>13</v>
      </c>
      <c r="G43" s="66" t="s">
        <v>33</v>
      </c>
      <c r="H43" s="13"/>
    </row>
    <row r="44">
      <c r="A44" s="13"/>
      <c r="B44" s="38"/>
      <c r="C44" s="39"/>
      <c r="D44" s="39"/>
      <c r="E44" s="39"/>
      <c r="F44" s="38"/>
      <c r="G44" s="38"/>
      <c r="H44" s="13"/>
    </row>
    <row r="45">
      <c r="A45" s="67"/>
      <c r="B45" s="68" t="s">
        <v>34</v>
      </c>
      <c r="C45" s="69"/>
      <c r="D45" s="70" t="s">
        <v>2</v>
      </c>
      <c r="E45" s="71" t="s">
        <v>3</v>
      </c>
      <c r="F45" s="72"/>
      <c r="G45" s="73"/>
      <c r="H45" s="67"/>
    </row>
    <row r="46">
      <c r="A46" s="67"/>
      <c r="B46" s="15" t="s">
        <v>35</v>
      </c>
      <c r="C46" s="54" t="s">
        <v>4</v>
      </c>
      <c r="D46" s="17" t="s">
        <v>36</v>
      </c>
      <c r="E46" s="54" t="str">
        <f>IFERROR(__xludf.DUMMYFUNCTION("IF(D46="""", """", GOOGLETRANSLATE(D46, ""de"", ""en""))"),"Seamless flooring for wet areas – easy to do yourself. Professional 3-component system for up to 5 m². Hygienic, easy to clean, durable.")</f>
        <v>Seamless flooring for wet areas – easy to do yourself. Professional 3-component system for up to 5 m². Hygienic, easy to clean, durable.</v>
      </c>
      <c r="F46" s="55"/>
      <c r="G46" s="56"/>
      <c r="H46" s="67"/>
    </row>
    <row r="47">
      <c r="A47" s="6"/>
      <c r="B47" s="20"/>
      <c r="C47" s="57" t="s">
        <v>6</v>
      </c>
      <c r="D47" s="21" t="s">
        <v>37</v>
      </c>
      <c r="E47" s="57" t="str">
        <f>IFERROR(__xludf.DUMMYFUNCTION("IF(D47="""", """", GOOGLETRANSLATE(D47, ""de"", ""en""))"),"Key visual: The ELAN complete set (three product components) is prominently displayed on a freshly coated, seamless, stone-grey floor. The background shows a modern bathroom, softly and brightly lit with a subtle depth of field. Graphically embedded in th"&amp;"e upper left is the main promise, ""Seamless system – 100% closed surface,"" in white lettering on a dark background. Slightly offset below is ""For wet areas – Water and cleaning agent resistant,"" accompanied by a corresponding icon. A small zoom circle"&amp;" in the lower right reveals a close-up of the smooth, seamless floor surface as a detail highlight.")</f>
        <v>Key visual: The ELAN complete set (three product components) is prominently displayed on a freshly coated, seamless, stone-grey floor. The background shows a modern bathroom, softly and brightly lit with a subtle depth of field. Graphically embedded in the upper left is the main promise, "Seamless system – 100% closed surface," in white lettering on a dark background. Slightly offset below is "For wet areas – Water and cleaning agent resistant," accompanied by a corresponding icon. A small zoom circle in the lower right reveals a close-up of the smooth, seamless floor surface as a detail highlight.</v>
      </c>
      <c r="F47" s="58"/>
      <c r="G47" s="59"/>
      <c r="H47" s="67"/>
    </row>
    <row r="48">
      <c r="A48" s="74"/>
      <c r="B48" s="60" t="s">
        <v>8</v>
      </c>
      <c r="C48" s="61"/>
      <c r="D48" s="62" t="s">
        <v>9</v>
      </c>
      <c r="E48" s="62" t="s">
        <v>10</v>
      </c>
      <c r="F48" s="63" t="s">
        <v>11</v>
      </c>
      <c r="G48" s="64" t="s">
        <v>12</v>
      </c>
      <c r="H48" s="67"/>
    </row>
    <row r="49">
      <c r="A49" s="74"/>
      <c r="B49" s="75" t="s">
        <v>13</v>
      </c>
      <c r="C49" s="54" t="s">
        <v>14</v>
      </c>
      <c r="D49" s="17" t="s">
        <v>13</v>
      </c>
      <c r="E49" s="54" t="str">
        <f>IFERROR(__xludf.DUMMYFUNCTION("IF(D49="""", """", GOOGLETRANSLATE(D49, ""de"", ""en""))"),"No")</f>
        <v>No</v>
      </c>
      <c r="F49" s="76" t="s">
        <v>13</v>
      </c>
      <c r="G49" s="77" t="s">
        <v>13</v>
      </c>
      <c r="H49" s="67"/>
    </row>
    <row r="50">
      <c r="A50" s="74"/>
      <c r="B50" s="78" t="s">
        <v>13</v>
      </c>
      <c r="C50" s="65" t="s">
        <v>15</v>
      </c>
      <c r="D50" s="34" t="s">
        <v>13</v>
      </c>
      <c r="E50" s="65" t="str">
        <f>IFERROR(__xludf.DUMMYFUNCTION("IF(D50="""", """", GOOGLETRANSLATE(D50, ""de"", ""en""))"),"No")</f>
        <v>No</v>
      </c>
      <c r="F50" s="79" t="s">
        <v>13</v>
      </c>
      <c r="G50" s="66" t="s">
        <v>13</v>
      </c>
      <c r="H50" s="67"/>
    </row>
    <row r="51">
      <c r="A51" s="74"/>
      <c r="B51" s="80"/>
      <c r="C51" s="81"/>
      <c r="D51" s="82"/>
      <c r="E51" s="81"/>
      <c r="F51" s="80"/>
      <c r="G51" s="83"/>
      <c r="H51" s="67"/>
    </row>
    <row r="52">
      <c r="A52" s="30"/>
      <c r="B52" s="68" t="s">
        <v>38</v>
      </c>
      <c r="C52" s="69"/>
      <c r="D52" s="70" t="s">
        <v>2</v>
      </c>
      <c r="E52" s="71" t="s">
        <v>3</v>
      </c>
      <c r="F52" s="72"/>
      <c r="G52" s="73"/>
      <c r="H52" s="67"/>
    </row>
    <row r="53">
      <c r="A53" s="74"/>
      <c r="B53" s="15" t="s">
        <v>39</v>
      </c>
      <c r="C53" s="54" t="s">
        <v>4</v>
      </c>
      <c r="D53" s="41" t="s">
        <v>40</v>
      </c>
      <c r="E53" s="54" t="str">
        <f>IFERROR(__xludf.DUMMYFUNCTION("IF(D53="""", """", GOOGLETRANSLATE(D53, ""de"", ""en""))"),"Suitable for use in bathrooms, kitchens, guest toilets, and hallways – one system for all wet areas. Seamless, waterproof, and easy to clean.")</f>
        <v>Suitable for use in bathrooms, kitchens, guest toilets, and hallways – one system for all wet areas. Seamless, waterproof, and easy to clean.</v>
      </c>
      <c r="F53" s="55"/>
      <c r="G53" s="56"/>
      <c r="H53" s="67"/>
    </row>
    <row r="54">
      <c r="A54" s="6"/>
      <c r="B54" s="20"/>
      <c r="C54" s="57" t="s">
        <v>6</v>
      </c>
      <c r="D54" s="41" t="s">
        <v>41</v>
      </c>
      <c r="E54" s="57" t="str">
        <f>IFERROR(__xludf.DUMMYFUNCTION("IF(D54="""", """", GOOGLETRANSLATE(D54, ""de"", ""en""))"),"A split image with four evenly spaced sections on a light background. Each section represents a typical application: bathroom, kitchen, guest toilet, hallway. In each section, the finished seamless floor is shown in one of the four colors. Above each sect"&amp;"ion is an icon and a short label (e.g., a droplet icon + 'Suitable for wet areas'). Below is a colored bar with the four colors represented as circles. The image navigation is clearly structured and easily readable on mobile devices.")</f>
        <v>A split image with four evenly spaced sections on a light background. Each section represents a typical application: bathroom, kitchen, guest toilet, hallway. In each section, the finished seamless floor is shown in one of the four colors. Above each section is an icon and a short label (e.g., a droplet icon + 'Suitable for wet areas'). Below is a colored bar with the four colors represented as circles. The image navigation is clearly structured and easily readable on mobile devices.</v>
      </c>
      <c r="F54" s="58"/>
      <c r="G54" s="59"/>
      <c r="H54" s="67"/>
    </row>
    <row r="55">
      <c r="A55" s="74"/>
      <c r="B55" s="60" t="s">
        <v>8</v>
      </c>
      <c r="C55" s="61"/>
      <c r="D55" s="62" t="s">
        <v>9</v>
      </c>
      <c r="E55" s="62" t="s">
        <v>10</v>
      </c>
      <c r="F55" s="63" t="s">
        <v>11</v>
      </c>
      <c r="G55" s="64" t="s">
        <v>12</v>
      </c>
      <c r="H55" s="67"/>
    </row>
    <row r="56">
      <c r="A56" s="74"/>
      <c r="B56" s="42" t="s">
        <v>13</v>
      </c>
      <c r="C56" s="54" t="s">
        <v>14</v>
      </c>
      <c r="D56" s="41" t="s">
        <v>13</v>
      </c>
      <c r="E56" s="54" t="str">
        <f>IFERROR(__xludf.DUMMYFUNCTION("IF(D56="""", """", GOOGLETRANSLATE(D56, ""de"", ""en""))"),"No")</f>
        <v>No</v>
      </c>
      <c r="F56" s="43" t="s">
        <v>13</v>
      </c>
      <c r="G56" s="44" t="s">
        <v>13</v>
      </c>
      <c r="H56" s="67"/>
    </row>
    <row r="57">
      <c r="A57" s="74"/>
      <c r="B57" s="45" t="s">
        <v>13</v>
      </c>
      <c r="C57" s="65" t="s">
        <v>15</v>
      </c>
      <c r="D57" s="46" t="s">
        <v>13</v>
      </c>
      <c r="E57" s="65" t="str">
        <f>IFERROR(__xludf.DUMMYFUNCTION("IF(D57="""", """", GOOGLETRANSLATE(D57, ""de"", ""en""))"),"No")</f>
        <v>No</v>
      </c>
      <c r="F57" s="47" t="s">
        <v>13</v>
      </c>
      <c r="G57" s="48" t="s">
        <v>13</v>
      </c>
      <c r="H57" s="67"/>
    </row>
    <row r="58">
      <c r="A58" s="74"/>
      <c r="B58" s="80"/>
      <c r="C58" s="81"/>
      <c r="D58" s="82"/>
      <c r="E58" s="81"/>
      <c r="F58" s="80"/>
      <c r="G58" s="83"/>
      <c r="H58" s="67"/>
    </row>
    <row r="59">
      <c r="A59" s="30"/>
      <c r="B59" s="68" t="s">
        <v>42</v>
      </c>
      <c r="C59" s="69"/>
      <c r="D59" s="70" t="s">
        <v>2</v>
      </c>
      <c r="E59" s="71" t="s">
        <v>3</v>
      </c>
      <c r="F59" s="72"/>
      <c r="G59" s="73"/>
      <c r="H59" s="67"/>
    </row>
    <row r="60">
      <c r="A60" s="74"/>
      <c r="B60" s="15" t="s">
        <v>43</v>
      </c>
      <c r="C60" s="54" t="s">
        <v>4</v>
      </c>
      <c r="D60" s="41" t="s">
        <v>44</v>
      </c>
      <c r="E60" s="54" t="str">
        <f>IFERROR(__xludf.DUMMYFUNCTION("IF(D60="""", """", GOOGLETRANSLATE(D60, ""de"", ""en""))"),"4 modern color tones – one system, endless possibilities")</f>
        <v>4 modern color tones – one system, endless possibilities</v>
      </c>
      <c r="F60" s="38"/>
      <c r="G60" s="56"/>
      <c r="H60" s="74"/>
    </row>
    <row r="61">
      <c r="A61" s="74"/>
      <c r="B61" s="20"/>
      <c r="C61" s="57" t="s">
        <v>6</v>
      </c>
      <c r="D61" s="41" t="s">
        <v>45</v>
      </c>
      <c r="E61" s="57" t="str">
        <f>IFERROR(__xludf.DUMMYFUNCTION("IF(D61="""", """", GOOGLETRANSLATE(D61, ""de"", ""en""))"),"All four color variations of the ELAN DIY wet area system are shown side-by-side on a light, neutral background: Anthracite RAL 7016, Stone Grey RAL 7030, Light Grey RAL 7035, and Light Ivory RAL 1015. Each variation is visualized with a small floor sampl"&amp;"e or color swatch, including the respective color name and RAL code. The option of a matte or glossy finish is also indicated. The layout is clean and high-quality, featuring minimalist typography.")</f>
        <v>All four color variations of the ELAN DIY wet area system are shown side-by-side on a light, neutral background: Anthracite RAL 7016, Stone Grey RAL 7030, Light Grey RAL 7035, and Light Ivory RAL 1015. Each variation is visualized with a small floor sample or color swatch, including the respective color name and RAL code. The option of a matte or glossy finish is also indicated. The layout is clean and high-quality, featuring minimalist typography.</v>
      </c>
      <c r="F61" s="58"/>
      <c r="G61" s="59"/>
      <c r="H61" s="74"/>
    </row>
    <row r="62">
      <c r="A62" s="74"/>
      <c r="B62" s="60" t="s">
        <v>8</v>
      </c>
      <c r="C62" s="61"/>
      <c r="D62" s="62" t="s">
        <v>9</v>
      </c>
      <c r="E62" s="62" t="s">
        <v>10</v>
      </c>
      <c r="F62" s="63" t="s">
        <v>11</v>
      </c>
      <c r="G62" s="64" t="s">
        <v>12</v>
      </c>
      <c r="H62" s="74"/>
    </row>
    <row r="63">
      <c r="A63" s="74"/>
      <c r="B63" s="42" t="s">
        <v>13</v>
      </c>
      <c r="C63" s="54" t="s">
        <v>14</v>
      </c>
      <c r="D63" s="41" t="s">
        <v>13</v>
      </c>
      <c r="E63" s="54" t="str">
        <f>IFERROR(__xludf.DUMMYFUNCTION("IF(D63="""", """", GOOGLETRANSLATE(D63, ""de"", ""en""))"),"No")</f>
        <v>No</v>
      </c>
      <c r="F63" s="43" t="s">
        <v>13</v>
      </c>
      <c r="G63" s="44" t="s">
        <v>13</v>
      </c>
      <c r="H63" s="74"/>
    </row>
    <row r="64">
      <c r="A64" s="74"/>
      <c r="B64" s="45" t="s">
        <v>31</v>
      </c>
      <c r="C64" s="65" t="s">
        <v>15</v>
      </c>
      <c r="D64" s="46" t="s">
        <v>46</v>
      </c>
      <c r="E64" s="65" t="str">
        <f>IFERROR(__xludf.DUMMYFUNCTION("IF(D64="""", """", GOOGLETRANSLATE(D64, ""de"", ""en""))"),"3D rendering of four adjacent floor surface sections in the four RAL colors (7016, 7030, 7035, 1015), each with a visible seamless surface in matte and glossy versions as a divider. Color names and RAL codes are labeled below. Neutral, light background.")</f>
        <v>3D rendering of four adjacent floor surface sections in the four RAL colors (7016, 7030, 7035, 1015), each with a visible seamless surface in matte and glossy versions as a divider. Color names and RAL codes are labeled below. Neutral, light background.</v>
      </c>
      <c r="F64" s="47" t="s">
        <v>13</v>
      </c>
      <c r="G64" s="48" t="s">
        <v>47</v>
      </c>
      <c r="H64" s="74"/>
    </row>
    <row r="65">
      <c r="A65" s="74"/>
      <c r="B65" s="80"/>
      <c r="C65" s="81"/>
      <c r="D65" s="82"/>
      <c r="E65" s="81"/>
      <c r="F65" s="80"/>
      <c r="G65" s="83"/>
      <c r="H65" s="74"/>
    </row>
    <row r="66">
      <c r="A66" s="74"/>
      <c r="B66" s="68" t="s">
        <v>48</v>
      </c>
      <c r="C66" s="69"/>
      <c r="D66" s="70" t="s">
        <v>2</v>
      </c>
      <c r="E66" s="71" t="s">
        <v>3</v>
      </c>
      <c r="F66" s="72"/>
      <c r="G66" s="73"/>
      <c r="H66" s="74"/>
    </row>
    <row r="67">
      <c r="A67" s="74"/>
      <c r="B67" s="15" t="s">
        <v>49</v>
      </c>
      <c r="C67" s="54" t="s">
        <v>4</v>
      </c>
      <c r="D67" s="41" t="s">
        <v>50</v>
      </c>
      <c r="E67" s="54" t="str">
        <f>IFERROR(__xludf.DUMMYFUNCTION("IF(D67="""", """", GOOGLETRANSLATE(D67, ""de"", ""en""))"),"3-step system: primer – coating – sealant for professional DIY results")</f>
        <v>3-step system: primer – coating – sealant for professional DIY results</v>
      </c>
      <c r="F67" s="55"/>
      <c r="G67" s="56"/>
      <c r="H67" s="74"/>
    </row>
    <row r="68">
      <c r="A68" s="74"/>
      <c r="B68" s="20"/>
      <c r="C68" s="57" t="s">
        <v>6</v>
      </c>
      <c r="D68" s="41" t="s">
        <v>51</v>
      </c>
      <c r="E68" s="57" t="str">
        <f>IFERROR(__xludf.DUMMYFUNCTION("IF(D68="""", """", GOOGLETRANSLATE(D68, ""de"", ""en""))"),"Vertical step-by-step composition with three numbered layers (1, 2, 3) from bottom to top. Layer 1: ELAN OP-Primer 001 N – epoxy primer for secure adhesion. Layer 2: ELAN OP-Coat 500 – tough, elastic PU design coating for comfort and durability. Layer 3: "&amp;"ELAN OP-Coat 590 – matte or glossy PU sealant for lasting protection. Each layer is accompanied by an icon, the product name, and a brief description. Neutral-light background, clear structure without distractions.")</f>
        <v>Vertical step-by-step composition with three numbered layers (1, 2, 3) from bottom to top. Layer 1: ELAN OP-Primer 001 N – epoxy primer for secure adhesion. Layer 2: ELAN OP-Coat 500 – tough, elastic PU design coating for comfort and durability. Layer 3: ELAN OP-Coat 590 – matte or glossy PU sealant for lasting protection. Each layer is accompanied by an icon, the product name, and a brief description. Neutral-light background, clear structure without distractions.</v>
      </c>
      <c r="F68" s="58"/>
      <c r="G68" s="59"/>
      <c r="H68" s="74"/>
    </row>
    <row r="69">
      <c r="A69" s="74"/>
      <c r="B69" s="60" t="s">
        <v>8</v>
      </c>
      <c r="C69" s="61"/>
      <c r="D69" s="62" t="s">
        <v>9</v>
      </c>
      <c r="E69" s="62" t="s">
        <v>10</v>
      </c>
      <c r="F69" s="63" t="s">
        <v>11</v>
      </c>
      <c r="G69" s="64" t="s">
        <v>12</v>
      </c>
      <c r="H69" s="74"/>
    </row>
    <row r="70">
      <c r="A70" s="74"/>
      <c r="B70" s="42" t="s">
        <v>13</v>
      </c>
      <c r="C70" s="54" t="s">
        <v>14</v>
      </c>
      <c r="D70" s="41" t="s">
        <v>13</v>
      </c>
      <c r="E70" s="54" t="str">
        <f>IFERROR(__xludf.DUMMYFUNCTION("IF(D70="""", """", GOOGLETRANSLATE(D70, ""de"", ""en""))"),"No")</f>
        <v>No</v>
      </c>
      <c r="F70" s="43" t="s">
        <v>13</v>
      </c>
      <c r="G70" s="44" t="s">
        <v>13</v>
      </c>
      <c r="H70" s="74"/>
    </row>
    <row r="71">
      <c r="A71" s="74"/>
      <c r="B71" s="45" t="s">
        <v>31</v>
      </c>
      <c r="C71" s="65" t="s">
        <v>15</v>
      </c>
      <c r="D71" s="46" t="s">
        <v>52</v>
      </c>
      <c r="E71" s="65" t="str">
        <f>IFERROR(__xludf.DUMMYFUNCTION("IF(D71="""", """", GOOGLETRANSLATE(D71, ""de"", ""en""))"),"3D cross-sectional visualization of the three-layer floor structure: substrate, primer layer (transparent yellow), PU coating layer (colored, e.g., anthracite), sealing layer (glossy). Each layer is clearly delineated with a label and number.")</f>
        <v>3D cross-sectional visualization of the three-layer floor structure: substrate, primer layer (transparent yellow), PU coating layer (colored, e.g., anthracite), sealing layer (glossy). Each layer is clearly delineated with a label and number.</v>
      </c>
      <c r="F71" s="47" t="s">
        <v>13</v>
      </c>
      <c r="G71" s="48" t="s">
        <v>13</v>
      </c>
      <c r="H71" s="74"/>
    </row>
    <row r="72">
      <c r="A72" s="74"/>
      <c r="B72" s="14"/>
      <c r="C72" s="84"/>
      <c r="D72" s="84"/>
      <c r="E72" s="84"/>
      <c r="F72" s="14"/>
      <c r="G72" s="14"/>
      <c r="H72" s="74"/>
    </row>
    <row r="73">
      <c r="A73" s="74"/>
      <c r="B73" s="68" t="s">
        <v>53</v>
      </c>
      <c r="C73" s="69"/>
      <c r="D73" s="70" t="s">
        <v>2</v>
      </c>
      <c r="E73" s="71" t="s">
        <v>3</v>
      </c>
      <c r="F73" s="72"/>
      <c r="G73" s="73"/>
      <c r="H73" s="74"/>
    </row>
    <row r="74">
      <c r="A74" s="74"/>
      <c r="B74" s="15" t="s">
        <v>54</v>
      </c>
      <c r="C74" s="54" t="s">
        <v>4</v>
      </c>
      <c r="D74" s="41" t="s">
        <v>55</v>
      </c>
      <c r="E74" s="54" t="str">
        <f>IFERROR(__xludf.DUMMYFUNCTION("IF(D74="""", """", GOOGLETRANSLATE(D74, ""de"", ""en""))"),"4 modern color tones – matte or glossy finish – for every interior design style")</f>
        <v>4 modern color tones – matte or glossy finish – for every interior design style</v>
      </c>
      <c r="F74" s="55"/>
      <c r="G74" s="56"/>
      <c r="H74" s="74"/>
    </row>
    <row r="75">
      <c r="A75" s="74"/>
      <c r="B75" s="20"/>
      <c r="C75" s="57" t="s">
        <v>6</v>
      </c>
      <c r="D75" s="41" t="s">
        <v>56</v>
      </c>
      <c r="E75" s="57" t="str">
        <f>IFERROR(__xludf.DUMMYFUNCTION("IF(D75="""", """", GOOGLETRANSLATE(D75, ""de"", ""en""))"),"A calm, high-quality brand image featuring a grid display of the four colors (anthracite RAL 7016, stone grey RAL 7030, light grey RAL 7035, light ivory RAL 1015) as uniform color fields, each with two surface finishes (matte/glossy). Each color field is "&amp;"clearly labeled. Below or beside it is the ELAN brand logo, along with short, graphically embedded statements: 'Seamless. Easy to clean. Durable.' Neutral, light background, minimalist layout.")</f>
        <v>A calm, high-quality brand image featuring a grid display of the four colors (anthracite RAL 7016, stone grey RAL 7030, light grey RAL 7035, light ivory RAL 1015) as uniform color fields, each with two surface finishes (matte/glossy). Each color field is clearly labeled. Below or beside it is the ELAN brand logo, along with short, graphically embedded statements: 'Seamless. Easy to clean. Durable.' Neutral, light background, minimalist layout.</v>
      </c>
      <c r="F75" s="58"/>
      <c r="G75" s="59"/>
      <c r="H75" s="74"/>
    </row>
    <row r="76">
      <c r="A76" s="74"/>
      <c r="B76" s="60" t="s">
        <v>8</v>
      </c>
      <c r="C76" s="61"/>
      <c r="D76" s="62" t="s">
        <v>9</v>
      </c>
      <c r="E76" s="62" t="s">
        <v>10</v>
      </c>
      <c r="F76" s="63" t="s">
        <v>11</v>
      </c>
      <c r="G76" s="64" t="s">
        <v>12</v>
      </c>
      <c r="H76" s="74"/>
    </row>
    <row r="77">
      <c r="A77" s="74"/>
      <c r="B77" s="42" t="s">
        <v>13</v>
      </c>
      <c r="C77" s="54" t="s">
        <v>14</v>
      </c>
      <c r="D77" s="41" t="s">
        <v>13</v>
      </c>
      <c r="E77" s="54" t="str">
        <f>IFERROR(__xludf.DUMMYFUNCTION("IF(D77="""", """", GOOGLETRANSLATE(D77, ""de"", ""en""))"),"No")</f>
        <v>No</v>
      </c>
      <c r="F77" s="43" t="s">
        <v>13</v>
      </c>
      <c r="G77" s="44" t="s">
        <v>13</v>
      </c>
      <c r="H77" s="74"/>
    </row>
    <row r="78">
      <c r="A78" s="74"/>
      <c r="B78" s="45" t="s">
        <v>13</v>
      </c>
      <c r="C78" s="65" t="s">
        <v>15</v>
      </c>
      <c r="D78" s="34" t="s">
        <v>13</v>
      </c>
      <c r="E78" s="65" t="str">
        <f>IFERROR(__xludf.DUMMYFUNCTION("IF(D78="""", """", GOOGLETRANSLATE(D78, ""de"", ""en""))"),"No")</f>
        <v>No</v>
      </c>
      <c r="F78" s="47" t="s">
        <v>13</v>
      </c>
      <c r="G78" s="66" t="s">
        <v>13</v>
      </c>
      <c r="H78" s="74"/>
    </row>
    <row r="79">
      <c r="A79" s="74"/>
      <c r="B79" s="14"/>
      <c r="C79" s="84"/>
      <c r="D79" s="84"/>
      <c r="E79" s="84"/>
      <c r="F79" s="14"/>
      <c r="G79" s="14"/>
      <c r="H79" s="74"/>
    </row>
    <row r="80">
      <c r="A80" s="74"/>
      <c r="B80" s="85" t="s">
        <v>57</v>
      </c>
      <c r="C80" s="84"/>
      <c r="D80" s="84"/>
      <c r="E80" s="84"/>
      <c r="F80" s="14"/>
      <c r="G80" s="14"/>
      <c r="H80" s="74"/>
    </row>
    <row r="81">
      <c r="A81" s="74"/>
      <c r="B81" s="86" t="s">
        <v>58</v>
      </c>
      <c r="C81" s="87"/>
      <c r="D81" s="88" t="s">
        <v>2</v>
      </c>
      <c r="E81" s="89" t="s">
        <v>3</v>
      </c>
      <c r="F81" s="90"/>
      <c r="G81" s="91"/>
      <c r="H81" s="74"/>
    </row>
    <row r="82">
      <c r="A82" s="74"/>
      <c r="B82" s="15" t="s">
        <v>59</v>
      </c>
      <c r="C82" s="54" t="s">
        <v>4</v>
      </c>
      <c r="D82" s="17" t="s">
        <v>60</v>
      </c>
      <c r="E82" s="54" t="str">
        <f>IFERROR(__xludf.DUMMYFUNCTION("IF(D82="""", """", GOOGLETRANSLATE(D82, ""de"", ""en""))"),"Seamless, hygienic, modern – your new floor in 3 steps")</f>
        <v>Seamless, hygienic, modern – your new floor in 3 steps</v>
      </c>
      <c r="F82" s="55"/>
      <c r="G82" s="56"/>
      <c r="H82" s="74"/>
    </row>
    <row r="83">
      <c r="A83" s="74"/>
      <c r="B83" s="20"/>
      <c r="C83" s="21" t="s">
        <v>61</v>
      </c>
      <c r="D83" s="21" t="s">
        <v>62</v>
      </c>
      <c r="E83" s="57" t="str">
        <f>IFERROR(__xludf.DUMMYFUNCTION("IF(D83="""", """", GOOGLETRANSLATE(D83, ""de"", ""en""))"),"Splitscreen: on the left, old tiled floor with visible grout lines; on the right, smooth, seamless anthracite PU coating – text overlay: “No grout lines. No dirt.”")</f>
        <v>Splitscreen: on the left, old tiled floor with visible grout lines; on the right, smooth, seamless anthracite PU coating – text overlay: “No grout lines. No dirt.”</v>
      </c>
      <c r="F83" s="58"/>
      <c r="G83" s="59"/>
      <c r="H83" s="74"/>
    </row>
    <row r="84">
      <c r="A84" s="74"/>
      <c r="B84" s="60" t="s">
        <v>8</v>
      </c>
      <c r="C84" s="61"/>
      <c r="D84" s="62" t="s">
        <v>9</v>
      </c>
      <c r="E84" s="62" t="s">
        <v>10</v>
      </c>
      <c r="F84" s="63" t="s">
        <v>11</v>
      </c>
      <c r="G84" s="64" t="s">
        <v>12</v>
      </c>
      <c r="H84" s="74"/>
    </row>
    <row r="85">
      <c r="A85" s="74"/>
      <c r="B85" s="42" t="s">
        <v>31</v>
      </c>
      <c r="C85" s="17" t="s">
        <v>63</v>
      </c>
      <c r="D85" s="17" t="s">
        <v>64</v>
      </c>
      <c r="E85" s="54" t="str">
        <f>IFERROR(__xludf.DUMMYFUNCTION("IF(D85="""", """", GOOGLETRANSLATE(D85, ""de"", ""en""))"),"Close-up of a freshly coated anthracite floor in the studio – the camera glides slowly over the flawless, seamless surface. Text overlay: ""Seamless. Hygienic. Easy to clean.""")</f>
        <v>Close-up of a freshly coated anthracite floor in the studio – the camera glides slowly over the flawless, seamless surface. Text overlay: "Seamless. Hygienic. Easy to clean."</v>
      </c>
      <c r="F85" s="76" t="s">
        <v>13</v>
      </c>
      <c r="G85" s="77" t="s">
        <v>47</v>
      </c>
      <c r="H85" s="74"/>
    </row>
    <row r="86">
      <c r="A86" s="74"/>
      <c r="B86" s="78" t="s">
        <v>31</v>
      </c>
      <c r="C86" s="65" t="s">
        <v>15</v>
      </c>
      <c r="D86" s="34" t="s">
        <v>65</v>
      </c>
      <c r="E86" s="65" t="str">
        <f>IFERROR(__xludf.DUMMYFUNCTION("IF(D86="""", """", GOOGLETRANSLATE(D86, ""de"", ""en""))"),"3D animation shows the three-layer system structure from bottom to top: substrate, epoxy primer, PU coating, PU sealant – each layer is shown with a German label.")</f>
        <v>3D animation shows the three-layer system structure from bottom to top: substrate, epoxy primer, PU coating, PU sealant – each layer is shown with a German label.</v>
      </c>
      <c r="F86" s="79" t="s">
        <v>13</v>
      </c>
      <c r="G86" s="66" t="s">
        <v>47</v>
      </c>
      <c r="H86" s="74"/>
    </row>
    <row r="87">
      <c r="A87" s="74"/>
      <c r="B87" s="14"/>
      <c r="C87" s="84"/>
      <c r="D87" s="84"/>
      <c r="E87" s="84"/>
      <c r="F87" s="14"/>
      <c r="G87" s="14"/>
      <c r="H87" s="74"/>
    </row>
    <row r="88">
      <c r="A88" s="74"/>
      <c r="B88" s="86" t="s">
        <v>66</v>
      </c>
      <c r="C88" s="87"/>
      <c r="D88" s="88" t="s">
        <v>2</v>
      </c>
      <c r="E88" s="89" t="s">
        <v>3</v>
      </c>
      <c r="F88" s="90"/>
      <c r="G88" s="91"/>
      <c r="H88" s="74"/>
    </row>
    <row r="89">
      <c r="A89" s="74"/>
      <c r="B89" s="15" t="s">
        <v>67</v>
      </c>
      <c r="C89" s="54" t="s">
        <v>4</v>
      </c>
      <c r="D89" s="41" t="s">
        <v>60</v>
      </c>
      <c r="E89" s="54" t="str">
        <f>IFERROR(__xludf.DUMMYFUNCTION("IF(D89="""", """", GOOGLETRANSLATE(D89, ""de"", ""en""))"),"Seamless, hygienic, modern – your new floor in 3 steps")</f>
        <v>Seamless, hygienic, modern – your new floor in 3 steps</v>
      </c>
      <c r="F89" s="55"/>
      <c r="G89" s="56"/>
      <c r="H89" s="74"/>
    </row>
    <row r="90">
      <c r="A90" s="74"/>
      <c r="B90" s="20"/>
      <c r="C90" s="21" t="s">
        <v>61</v>
      </c>
      <c r="D90" s="41" t="s">
        <v>62</v>
      </c>
      <c r="E90" s="57" t="str">
        <f>IFERROR(__xludf.DUMMYFUNCTION("IF(D90="""", """", GOOGLETRANSLATE(D90, ""de"", ""en""))"),"Splitscreen: on the left, old tiled floor with visible grout lines; on the right, smooth, seamless anthracite PU coating – text overlay: “No grout lines. No dirt.”")</f>
        <v>Splitscreen: on the left, old tiled floor with visible grout lines; on the right, smooth, seamless anthracite PU coating – text overlay: “No grout lines. No dirt.”</v>
      </c>
      <c r="F90" s="58"/>
      <c r="G90" s="59"/>
      <c r="H90" s="74"/>
    </row>
    <row r="91">
      <c r="A91" s="74"/>
      <c r="B91" s="60" t="s">
        <v>8</v>
      </c>
      <c r="C91" s="61"/>
      <c r="D91" s="62" t="s">
        <v>9</v>
      </c>
      <c r="E91" s="62" t="s">
        <v>10</v>
      </c>
      <c r="F91" s="63" t="s">
        <v>11</v>
      </c>
      <c r="G91" s="64" t="s">
        <v>12</v>
      </c>
      <c r="H91" s="74"/>
    </row>
    <row r="92">
      <c r="A92" s="74"/>
      <c r="B92" s="42" t="s">
        <v>31</v>
      </c>
      <c r="C92" s="17" t="s">
        <v>63</v>
      </c>
      <c r="D92" s="41" t="s">
        <v>64</v>
      </c>
      <c r="E92" s="54" t="str">
        <f>IFERROR(__xludf.DUMMYFUNCTION("IF(D92="""", """", GOOGLETRANSLATE(D92, ""de"", ""en""))"),"Close-up of a freshly coated anthracite floor in the studio – the camera glides slowly over the flawless, seamless surface. Text overlay: ""Seamless. Hygienic. Easy to clean.""")</f>
        <v>Close-up of a freshly coated anthracite floor in the studio – the camera glides slowly over the flawless, seamless surface. Text overlay: "Seamless. Hygienic. Easy to clean."</v>
      </c>
      <c r="F92" s="43" t="s">
        <v>13</v>
      </c>
      <c r="G92" s="44" t="s">
        <v>47</v>
      </c>
      <c r="H92" s="74"/>
    </row>
    <row r="93">
      <c r="A93" s="74"/>
      <c r="B93" s="45" t="s">
        <v>31</v>
      </c>
      <c r="C93" s="65" t="s">
        <v>15</v>
      </c>
      <c r="D93" s="46" t="s">
        <v>65</v>
      </c>
      <c r="E93" s="65" t="str">
        <f>IFERROR(__xludf.DUMMYFUNCTION("IF(D93="""", """", GOOGLETRANSLATE(D93, ""de"", ""en""))"),"3D animation shows the three-layer system structure from bottom to top: substrate, epoxy primer, PU coating, PU sealant – each layer is shown with a German label.")</f>
        <v>3D animation shows the three-layer system structure from bottom to top: substrate, epoxy primer, PU coating, PU sealant – each layer is shown with a German label.</v>
      </c>
      <c r="F93" s="47" t="s">
        <v>13</v>
      </c>
      <c r="G93" s="48" t="s">
        <v>47</v>
      </c>
      <c r="H93" s="74"/>
    </row>
    <row r="94">
      <c r="A94" s="74"/>
      <c r="B94" s="14"/>
      <c r="C94" s="84"/>
      <c r="D94" s="84"/>
      <c r="E94" s="84"/>
      <c r="F94" s="14"/>
      <c r="G94" s="14"/>
      <c r="H94" s="74"/>
    </row>
    <row r="95">
      <c r="A95" s="74"/>
      <c r="B95" s="86" t="s">
        <v>68</v>
      </c>
      <c r="C95" s="87"/>
      <c r="D95" s="88" t="s">
        <v>2</v>
      </c>
      <c r="E95" s="89" t="s">
        <v>3</v>
      </c>
      <c r="F95" s="90"/>
      <c r="G95" s="91"/>
      <c r="H95" s="74"/>
    </row>
    <row r="96">
      <c r="A96" s="74"/>
      <c r="B96" s="15" t="s">
        <v>69</v>
      </c>
      <c r="C96" s="54" t="s">
        <v>4</v>
      </c>
      <c r="D96" s="41" t="s">
        <v>60</v>
      </c>
      <c r="E96" s="54" t="str">
        <f>IFERROR(__xludf.DUMMYFUNCTION("IF(D96="""", """", GOOGLETRANSLATE(D96, ""de"", ""en""))"),"Seamless, hygienic, modern – your new floor in 3 steps")</f>
        <v>Seamless, hygienic, modern – your new floor in 3 steps</v>
      </c>
      <c r="F96" s="55"/>
      <c r="G96" s="56"/>
      <c r="H96" s="74"/>
    </row>
    <row r="97">
      <c r="A97" s="74"/>
      <c r="B97" s="20"/>
      <c r="C97" s="21" t="s">
        <v>61</v>
      </c>
      <c r="D97" s="41" t="s">
        <v>62</v>
      </c>
      <c r="E97" s="57" t="str">
        <f>IFERROR(__xludf.DUMMYFUNCTION("IF(D97="""", """", GOOGLETRANSLATE(D97, ""de"", ""en""))"),"Splitscreen: on the left, old tiled floor with visible grout lines; on the right, smooth, seamless anthracite PU coating – text overlay: “No grout lines. No dirt.”")</f>
        <v>Splitscreen: on the left, old tiled floor with visible grout lines; on the right, smooth, seamless anthracite PU coating – text overlay: “No grout lines. No dirt.”</v>
      </c>
      <c r="F97" s="58"/>
      <c r="G97" s="59"/>
      <c r="H97" s="74"/>
    </row>
    <row r="98">
      <c r="A98" s="74"/>
      <c r="B98" s="60" t="s">
        <v>8</v>
      </c>
      <c r="C98" s="61"/>
      <c r="D98" s="62" t="s">
        <v>9</v>
      </c>
      <c r="E98" s="62" t="s">
        <v>10</v>
      </c>
      <c r="F98" s="63" t="s">
        <v>11</v>
      </c>
      <c r="G98" s="64" t="s">
        <v>12</v>
      </c>
      <c r="H98" s="74"/>
    </row>
    <row r="99">
      <c r="A99" s="74"/>
      <c r="B99" s="42" t="s">
        <v>31</v>
      </c>
      <c r="C99" s="17" t="s">
        <v>63</v>
      </c>
      <c r="D99" s="41" t="s">
        <v>64</v>
      </c>
      <c r="E99" s="54" t="str">
        <f>IFERROR(__xludf.DUMMYFUNCTION("IF(D99="""", """", GOOGLETRANSLATE(D99, ""de"", ""en""))"),"Close-up of a freshly coated anthracite floor in the studio – the camera glides slowly over the flawless, seamless surface. Text overlay: ""Seamless. Hygienic. Easy to clean.""")</f>
        <v>Close-up of a freshly coated anthracite floor in the studio – the camera glides slowly over the flawless, seamless surface. Text overlay: "Seamless. Hygienic. Easy to clean."</v>
      </c>
      <c r="F99" s="43" t="s">
        <v>13</v>
      </c>
      <c r="G99" s="44" t="s">
        <v>47</v>
      </c>
      <c r="H99" s="74"/>
    </row>
    <row r="100">
      <c r="A100" s="74"/>
      <c r="B100" s="45" t="s">
        <v>31</v>
      </c>
      <c r="C100" s="65" t="s">
        <v>15</v>
      </c>
      <c r="D100" s="46" t="s">
        <v>65</v>
      </c>
      <c r="E100" s="65" t="str">
        <f>IFERROR(__xludf.DUMMYFUNCTION("IF(D100="""", """", GOOGLETRANSLATE(D100, ""de"", ""en""))"),"3D animation shows the three-layer system structure from bottom to top: substrate, epoxy primer, PU coating, PU sealant – each layer is shown with a German label.")</f>
        <v>3D animation shows the three-layer system structure from bottom to top: substrate, epoxy primer, PU coating, PU sealant – each layer is shown with a German label.</v>
      </c>
      <c r="F100" s="47" t="s">
        <v>13</v>
      </c>
      <c r="G100" s="48" t="s">
        <v>47</v>
      </c>
      <c r="H100" s="74"/>
    </row>
    <row r="101">
      <c r="A101" s="74"/>
      <c r="B101" s="14"/>
      <c r="C101" s="84"/>
      <c r="D101" s="84"/>
      <c r="E101" s="84"/>
      <c r="F101" s="14"/>
      <c r="G101" s="14"/>
      <c r="H101" s="74"/>
    </row>
    <row r="102">
      <c r="A102" s="74"/>
      <c r="B102" s="86" t="s">
        <v>70</v>
      </c>
      <c r="C102" s="87"/>
      <c r="D102" s="88" t="s">
        <v>2</v>
      </c>
      <c r="E102" s="89" t="s">
        <v>3</v>
      </c>
      <c r="F102" s="90"/>
      <c r="G102" s="91"/>
      <c r="H102" s="74"/>
    </row>
    <row r="103">
      <c r="A103" s="74"/>
      <c r="B103" s="15" t="s">
        <v>71</v>
      </c>
      <c r="C103" s="54" t="s">
        <v>4</v>
      </c>
      <c r="D103" s="41" t="s">
        <v>60</v>
      </c>
      <c r="E103" s="54" t="str">
        <f>IFERROR(__xludf.DUMMYFUNCTION("IF(D103="""", """", GOOGLETRANSLATE(D103, ""de"", ""en""))"),"Seamless, hygienic, modern – your new floor in 3 steps")</f>
        <v>Seamless, hygienic, modern – your new floor in 3 steps</v>
      </c>
      <c r="F103" s="55"/>
      <c r="G103" s="56"/>
      <c r="H103" s="74"/>
    </row>
    <row r="104">
      <c r="A104" s="74"/>
      <c r="B104" s="20"/>
      <c r="C104" s="21" t="s">
        <v>61</v>
      </c>
      <c r="D104" s="41" t="s">
        <v>62</v>
      </c>
      <c r="E104" s="57" t="str">
        <f>IFERROR(__xludf.DUMMYFUNCTION("IF(D104="""", """", GOOGLETRANSLATE(D104, ""de"", ""en""))"),"Splitscreen: on the left, old tiled floor with visible grout lines; on the right, smooth, seamless anthracite PU coating – text overlay: “No grout lines. No dirt.”")</f>
        <v>Splitscreen: on the left, old tiled floor with visible grout lines; on the right, smooth, seamless anthracite PU coating – text overlay: “No grout lines. No dirt.”</v>
      </c>
      <c r="F104" s="58"/>
      <c r="G104" s="59"/>
      <c r="H104" s="74"/>
    </row>
    <row r="105">
      <c r="A105" s="74"/>
      <c r="B105" s="60" t="s">
        <v>8</v>
      </c>
      <c r="C105" s="61"/>
      <c r="D105" s="62" t="s">
        <v>9</v>
      </c>
      <c r="E105" s="62" t="s">
        <v>10</v>
      </c>
      <c r="F105" s="63" t="s">
        <v>11</v>
      </c>
      <c r="G105" s="64" t="s">
        <v>12</v>
      </c>
      <c r="H105" s="74"/>
    </row>
    <row r="106">
      <c r="A106" s="74"/>
      <c r="B106" s="42" t="s">
        <v>31</v>
      </c>
      <c r="C106" s="17" t="s">
        <v>63</v>
      </c>
      <c r="D106" s="41" t="s">
        <v>64</v>
      </c>
      <c r="E106" s="54" t="str">
        <f>IFERROR(__xludf.DUMMYFUNCTION("IF(D106="""", """", GOOGLETRANSLATE(D106, ""de"", ""en""))"),"Close-up of a freshly coated anthracite floor in the studio – the camera glides slowly over the flawless, seamless surface. Text overlay: ""Seamless. Hygienic. Easy to clean.""")</f>
        <v>Close-up of a freshly coated anthracite floor in the studio – the camera glides slowly over the flawless, seamless surface. Text overlay: "Seamless. Hygienic. Easy to clean."</v>
      </c>
      <c r="F106" s="43" t="s">
        <v>13</v>
      </c>
      <c r="G106" s="44" t="s">
        <v>47</v>
      </c>
      <c r="H106" s="74"/>
    </row>
    <row r="107">
      <c r="A107" s="74"/>
      <c r="B107" s="45" t="s">
        <v>31</v>
      </c>
      <c r="C107" s="65" t="s">
        <v>15</v>
      </c>
      <c r="D107" s="46" t="s">
        <v>65</v>
      </c>
      <c r="E107" s="65" t="str">
        <f>IFERROR(__xludf.DUMMYFUNCTION("IF(D107="""", """", GOOGLETRANSLATE(D107, ""de"", ""en""))"),"3D animation shows the three-layer system structure from bottom to top: substrate, epoxy primer, PU coating, PU sealant – each layer is shown with a German label.")</f>
        <v>3D animation shows the three-layer system structure from bottom to top: substrate, epoxy primer, PU coating, PU sealant – each layer is shown with a German label.</v>
      </c>
      <c r="F107" s="47" t="s">
        <v>13</v>
      </c>
      <c r="G107" s="48" t="s">
        <v>47</v>
      </c>
      <c r="H107" s="74"/>
    </row>
    <row r="108">
      <c r="A108" s="74"/>
      <c r="B108" s="14"/>
      <c r="C108" s="84"/>
      <c r="D108" s="84"/>
      <c r="E108" s="84"/>
      <c r="F108" s="14"/>
      <c r="G108" s="14"/>
      <c r="H108" s="74"/>
    </row>
    <row r="109">
      <c r="A109" s="74"/>
      <c r="B109" s="86" t="s">
        <v>72</v>
      </c>
      <c r="C109" s="87"/>
      <c r="D109" s="88" t="s">
        <v>2</v>
      </c>
      <c r="E109" s="89" t="s">
        <v>3</v>
      </c>
      <c r="F109" s="90"/>
      <c r="G109" s="91"/>
      <c r="H109" s="74"/>
    </row>
    <row r="110">
      <c r="A110" s="74"/>
      <c r="B110" s="15" t="s">
        <v>73</v>
      </c>
      <c r="C110" s="54" t="s">
        <v>4</v>
      </c>
      <c r="D110" s="41" t="s">
        <v>60</v>
      </c>
      <c r="E110" s="54" t="str">
        <f>IFERROR(__xludf.DUMMYFUNCTION("IF(D110="""", """", GOOGLETRANSLATE(D110, ""de"", ""en""))"),"Seamless, hygienic, modern – your new floor in 3 steps")</f>
        <v>Seamless, hygienic, modern – your new floor in 3 steps</v>
      </c>
      <c r="F110" s="55"/>
      <c r="G110" s="56"/>
      <c r="H110" s="74"/>
    </row>
    <row r="111">
      <c r="A111" s="74"/>
      <c r="B111" s="20"/>
      <c r="C111" s="21" t="s">
        <v>61</v>
      </c>
      <c r="D111" s="41" t="s">
        <v>62</v>
      </c>
      <c r="E111" s="57" t="str">
        <f>IFERROR(__xludf.DUMMYFUNCTION("IF(D111="""", """", GOOGLETRANSLATE(D111, ""de"", ""en""))"),"Splitscreen: on the left, old tiled floor with visible grout lines; on the right, smooth, seamless anthracite PU coating – text overlay: “No grout lines. No dirt.”")</f>
        <v>Splitscreen: on the left, old tiled floor with visible grout lines; on the right, smooth, seamless anthracite PU coating – text overlay: “No grout lines. No dirt.”</v>
      </c>
      <c r="F111" s="58"/>
      <c r="G111" s="59"/>
      <c r="H111" s="74"/>
    </row>
    <row r="112">
      <c r="A112" s="74"/>
      <c r="B112" s="60" t="s">
        <v>8</v>
      </c>
      <c r="C112" s="61"/>
      <c r="D112" s="62" t="s">
        <v>9</v>
      </c>
      <c r="E112" s="62" t="s">
        <v>10</v>
      </c>
      <c r="F112" s="63" t="s">
        <v>11</v>
      </c>
      <c r="G112" s="64" t="s">
        <v>12</v>
      </c>
      <c r="H112" s="74"/>
    </row>
    <row r="113">
      <c r="A113" s="74"/>
      <c r="B113" s="42" t="s">
        <v>31</v>
      </c>
      <c r="C113" s="17" t="s">
        <v>63</v>
      </c>
      <c r="D113" s="41" t="s">
        <v>64</v>
      </c>
      <c r="E113" s="54" t="str">
        <f>IFERROR(__xludf.DUMMYFUNCTION("IF(D113="""", """", GOOGLETRANSLATE(D113, ""de"", ""en""))"),"Close-up of a freshly coated anthracite floor in the studio – the camera glides slowly over the flawless, seamless surface. Text overlay: ""Seamless. Hygienic. Easy to clean.""")</f>
        <v>Close-up of a freshly coated anthracite floor in the studio – the camera glides slowly over the flawless, seamless surface. Text overlay: "Seamless. Hygienic. Easy to clean."</v>
      </c>
      <c r="F113" s="43" t="s">
        <v>13</v>
      </c>
      <c r="G113" s="44" t="s">
        <v>47</v>
      </c>
      <c r="H113" s="74"/>
    </row>
    <row r="114">
      <c r="A114" s="74"/>
      <c r="B114" s="45" t="s">
        <v>31</v>
      </c>
      <c r="C114" s="65" t="s">
        <v>15</v>
      </c>
      <c r="D114" s="34" t="s">
        <v>65</v>
      </c>
      <c r="E114" s="65" t="str">
        <f>IFERROR(__xludf.DUMMYFUNCTION("IF(D114="""", """", GOOGLETRANSLATE(D114, ""de"", ""en""))"),"3D animation shows the three-layer system structure from bottom to top: substrate, epoxy primer, PU coating, PU sealant – each layer is shown with a German label.")</f>
        <v>3D animation shows the three-layer system structure from bottom to top: substrate, epoxy primer, PU coating, PU sealant – each layer is shown with a German label.</v>
      </c>
      <c r="F114" s="47" t="s">
        <v>13</v>
      </c>
      <c r="G114" s="66" t="s">
        <v>47</v>
      </c>
      <c r="H114" s="74"/>
    </row>
    <row r="115">
      <c r="A115" s="92"/>
      <c r="B115" s="93"/>
      <c r="C115" s="94"/>
      <c r="D115" s="94"/>
      <c r="E115" s="94"/>
      <c r="F115" s="93"/>
      <c r="G115" s="93"/>
      <c r="H115" s="92"/>
    </row>
  </sheetData>
  <mergeCells count="17">
    <mergeCell ref="B3:C3"/>
    <mergeCell ref="B4:B5"/>
    <mergeCell ref="B11:B12"/>
    <mergeCell ref="B18:B19"/>
    <mergeCell ref="B25:B26"/>
    <mergeCell ref="B32:B33"/>
    <mergeCell ref="B39:B40"/>
    <mergeCell ref="B96:B97"/>
    <mergeCell ref="B103:B104"/>
    <mergeCell ref="B110:B111"/>
    <mergeCell ref="B46:B47"/>
    <mergeCell ref="B53:B54"/>
    <mergeCell ref="B60:B61"/>
    <mergeCell ref="B67:B68"/>
    <mergeCell ref="B74:B75"/>
    <mergeCell ref="B82:B83"/>
    <mergeCell ref="B89:B90"/>
  </mergeCells>
  <conditionalFormatting sqref="B1:G115">
    <cfRule type="cellIs" dxfId="0" priority="1" operator="equal">
      <formula>"Yes"</formula>
    </cfRule>
  </conditionalFormatting>
  <conditionalFormatting sqref="B1:G115">
    <cfRule type="cellIs" dxfId="1" priority="2" operator="equal">
      <formula>"No"</formula>
    </cfRule>
  </conditionalFormatting>
  <printOptions gridLines="1" horizontalCentered="1"/>
  <pageMargins bottom="0.75" footer="0.0" header="0.0" left="0.7" right="0.7" top="0.75"/>
  <pageSetup fitToHeight="0" cellComments="atEnd" orientation="landscape" pageOrder="overThenDown"/>
  <drawing r:id="rId1"/>
</worksheet>
</file>